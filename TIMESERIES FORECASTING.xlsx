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6279bdbb0d4dee1/Desktop/"/>
    </mc:Choice>
  </mc:AlternateContent>
  <xr:revisionPtr revIDLastSave="9" documentId="11_F25DC773A252ABDACC1048D6B1DB78065BDE58ED" xr6:coauthVersionLast="47" xr6:coauthVersionMax="47" xr10:uidLastSave="{E9541A76-0DC1-4572-972C-841D6579362D}"/>
  <bookViews>
    <workbookView xWindow="-110" yWindow="-110" windowWidth="19420" windowHeight="10300" activeTab="1" xr2:uid="{00000000-000D-0000-FFFF-FFFF00000000}"/>
  </bookViews>
  <sheets>
    <sheet name="Data" sheetId="2" r:id="rId1"/>
    <sheet name="Timeseries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  <c r="H7" i="2"/>
  <c r="I7" i="2" s="1"/>
  <c r="H8" i="2"/>
  <c r="I8" i="2" s="1"/>
  <c r="H9" i="2"/>
  <c r="I9" i="2" s="1"/>
  <c r="H10" i="2"/>
  <c r="I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I17" i="2" s="1"/>
  <c r="H18" i="2"/>
  <c r="H19" i="2"/>
  <c r="I19" i="2" s="1"/>
  <c r="H20" i="2"/>
  <c r="I20" i="2" s="1"/>
  <c r="H21" i="2"/>
  <c r="I21" i="2" s="1"/>
  <c r="H22" i="2"/>
  <c r="I22" i="2" s="1"/>
  <c r="H23" i="2"/>
  <c r="J23" i="2" s="1"/>
  <c r="H24" i="2"/>
  <c r="J24" i="2" s="1"/>
  <c r="H25" i="2"/>
  <c r="J25" i="2" s="1"/>
  <c r="H26" i="2"/>
  <c r="J26" i="2" s="1"/>
  <c r="H27" i="2"/>
  <c r="J27" i="2" s="1"/>
  <c r="H28" i="2"/>
  <c r="J28" i="2" s="1"/>
  <c r="H29" i="2"/>
  <c r="J29" i="2" s="1"/>
  <c r="H30" i="2"/>
  <c r="H31" i="2"/>
  <c r="I31" i="2" s="1"/>
  <c r="H32" i="2"/>
  <c r="I32" i="2" s="1"/>
  <c r="H33" i="2"/>
  <c r="I33" i="2" s="1"/>
  <c r="H34" i="2"/>
  <c r="I34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I40" i="2" s="1"/>
  <c r="H41" i="2"/>
  <c r="J41" i="2" s="1"/>
  <c r="H42" i="2"/>
  <c r="H43" i="2"/>
  <c r="I43" i="2" s="1"/>
  <c r="H44" i="2"/>
  <c r="I44" i="2" s="1"/>
  <c r="H45" i="2"/>
  <c r="I45" i="2" s="1"/>
  <c r="H46" i="2"/>
  <c r="I46" i="2" s="1"/>
  <c r="H47" i="2"/>
  <c r="J47" i="2" s="1"/>
  <c r="H48" i="2"/>
  <c r="J48" i="2" s="1"/>
  <c r="H49" i="2"/>
  <c r="J49" i="2" s="1"/>
  <c r="H50" i="2"/>
  <c r="J50" i="2" s="1"/>
  <c r="H51" i="2"/>
  <c r="J51" i="2" s="1"/>
  <c r="H52" i="2"/>
  <c r="J52" i="2" s="1"/>
  <c r="H53" i="2"/>
  <c r="J53" i="2" s="1"/>
  <c r="H54" i="2"/>
  <c r="H55" i="2"/>
  <c r="I55" i="2" s="1"/>
  <c r="H56" i="2"/>
  <c r="I56" i="2" s="1"/>
  <c r="H57" i="2"/>
  <c r="I57" i="2" s="1"/>
  <c r="H58" i="2"/>
  <c r="I58" i="2" s="1"/>
  <c r="H59" i="2"/>
  <c r="J59" i="2" s="1"/>
  <c r="H60" i="2"/>
  <c r="J60" i="2" s="1"/>
  <c r="H61" i="2"/>
  <c r="J61" i="2" s="1"/>
  <c r="H62" i="2"/>
  <c r="J62" i="2" s="1"/>
  <c r="H63" i="2"/>
  <c r="J63" i="2" s="1"/>
  <c r="H64" i="2"/>
  <c r="J64" i="2" s="1"/>
  <c r="H65" i="2"/>
  <c r="J65" i="2" s="1"/>
  <c r="H66" i="2"/>
  <c r="H67" i="2"/>
  <c r="I67" i="2" s="1"/>
  <c r="H68" i="2"/>
  <c r="I68" i="2" s="1"/>
  <c r="H69" i="2"/>
  <c r="I69" i="2" s="1"/>
  <c r="H70" i="2"/>
  <c r="I70" i="2" s="1"/>
  <c r="H71" i="2"/>
  <c r="J71" i="2" s="1"/>
  <c r="H72" i="2"/>
  <c r="J72" i="2" s="1"/>
  <c r="H73" i="2"/>
  <c r="J73" i="2" s="1"/>
  <c r="H74" i="2"/>
  <c r="J74" i="2" s="1"/>
  <c r="H75" i="2"/>
  <c r="J75" i="2" s="1"/>
  <c r="H76" i="2"/>
  <c r="J76" i="2" s="1"/>
  <c r="H77" i="2"/>
  <c r="J77" i="2" s="1"/>
  <c r="H78" i="2"/>
  <c r="H79" i="2"/>
  <c r="I79" i="2" s="1"/>
  <c r="H80" i="2"/>
  <c r="I80" i="2" s="1"/>
  <c r="H81" i="2"/>
  <c r="I81" i="2" s="1"/>
  <c r="H82" i="2"/>
  <c r="I82" i="2" s="1"/>
  <c r="H83" i="2"/>
  <c r="J83" i="2" s="1"/>
  <c r="H84" i="2"/>
  <c r="J84" i="2" s="1"/>
  <c r="H85" i="2"/>
  <c r="J85" i="2" s="1"/>
  <c r="H86" i="2"/>
  <c r="J86" i="2" s="1"/>
  <c r="H87" i="2"/>
  <c r="J87" i="2" s="1"/>
  <c r="H88" i="2"/>
  <c r="J88" i="2" s="1"/>
  <c r="H89" i="2"/>
  <c r="J89" i="2" s="1"/>
  <c r="H90" i="2"/>
  <c r="H91" i="2"/>
  <c r="I91" i="2" s="1"/>
  <c r="H92" i="2"/>
  <c r="I92" i="2" s="1"/>
  <c r="H93" i="2"/>
  <c r="I93" i="2" s="1"/>
  <c r="H94" i="2"/>
  <c r="I94" i="2" s="1"/>
  <c r="H95" i="2"/>
  <c r="J95" i="2" s="1"/>
  <c r="H96" i="2"/>
  <c r="J96" i="2" s="1"/>
  <c r="H97" i="2"/>
  <c r="J97" i="2" s="1"/>
  <c r="H98" i="2"/>
  <c r="J98" i="2" s="1"/>
  <c r="H99" i="2"/>
  <c r="J99" i="2" s="1"/>
  <c r="H100" i="2"/>
  <c r="J100" i="2" s="1"/>
  <c r="H101" i="2"/>
  <c r="J101" i="2" s="1"/>
  <c r="H102" i="2"/>
  <c r="H103" i="2"/>
  <c r="I103" i="2" s="1"/>
  <c r="H104" i="2"/>
  <c r="I104" i="2" s="1"/>
  <c r="H5" i="2"/>
  <c r="J6" i="2"/>
  <c r="J7" i="2"/>
  <c r="J8" i="2"/>
  <c r="J9" i="2"/>
  <c r="J10" i="2"/>
  <c r="J18" i="2"/>
  <c r="J19" i="2"/>
  <c r="J30" i="2"/>
  <c r="J31" i="2"/>
  <c r="J32" i="2"/>
  <c r="J33" i="2"/>
  <c r="J34" i="2"/>
  <c r="J42" i="2"/>
  <c r="J43" i="2"/>
  <c r="J54" i="2"/>
  <c r="J55" i="2"/>
  <c r="J66" i="2"/>
  <c r="J67" i="2"/>
  <c r="J68" i="2"/>
  <c r="J78" i="2"/>
  <c r="J79" i="2"/>
  <c r="J80" i="2"/>
  <c r="J81" i="2"/>
  <c r="J82" i="2"/>
  <c r="J90" i="2"/>
  <c r="J91" i="2"/>
  <c r="J92" i="2"/>
  <c r="J93" i="2"/>
  <c r="J94" i="2"/>
  <c r="J102" i="2"/>
  <c r="J103" i="2"/>
  <c r="J104" i="2"/>
  <c r="J5" i="2"/>
  <c r="I6" i="2"/>
  <c r="I18" i="2"/>
  <c r="I30" i="2"/>
  <c r="I42" i="2"/>
  <c r="I54" i="2"/>
  <c r="I66" i="2"/>
  <c r="I78" i="2"/>
  <c r="I84" i="2"/>
  <c r="I90" i="2"/>
  <c r="I96" i="2"/>
  <c r="I102" i="2"/>
  <c r="I5" i="2"/>
  <c r="F15" i="2"/>
  <c r="F16" i="2"/>
  <c r="F17" i="2"/>
  <c r="F18" i="2"/>
  <c r="F19" i="2"/>
  <c r="F20" i="2"/>
  <c r="F21" i="2"/>
  <c r="F39" i="2"/>
  <c r="F40" i="2"/>
  <c r="F41" i="2"/>
  <c r="F51" i="2"/>
  <c r="F52" i="2"/>
  <c r="F53" i="2"/>
  <c r="F54" i="2"/>
  <c r="F55" i="2"/>
  <c r="F56" i="2"/>
  <c r="F57" i="2"/>
  <c r="F75" i="2"/>
  <c r="F76" i="2"/>
  <c r="F77" i="2"/>
  <c r="F87" i="2"/>
  <c r="F88" i="2"/>
  <c r="F89" i="2"/>
  <c r="F90" i="2"/>
  <c r="F91" i="2"/>
  <c r="F92" i="2"/>
  <c r="F93" i="2"/>
  <c r="E6" i="2"/>
  <c r="E15" i="2"/>
  <c r="E16" i="2"/>
  <c r="E17" i="2"/>
  <c r="E39" i="2"/>
  <c r="E40" i="2"/>
  <c r="E41" i="2"/>
  <c r="E42" i="2"/>
  <c r="E51" i="2"/>
  <c r="E52" i="2"/>
  <c r="E53" i="2"/>
  <c r="E75" i="2"/>
  <c r="E76" i="2"/>
  <c r="E77" i="2"/>
  <c r="E78" i="2"/>
  <c r="E87" i="2"/>
  <c r="E88" i="2"/>
  <c r="E89" i="2"/>
  <c r="D6" i="2"/>
  <c r="F6" i="2" s="1"/>
  <c r="D7" i="2"/>
  <c r="E7" i="2" s="1"/>
  <c r="D8" i="2"/>
  <c r="E8" i="2" s="1"/>
  <c r="D9" i="2"/>
  <c r="E9" i="2" s="1"/>
  <c r="D10" i="2"/>
  <c r="E10" i="2" s="1"/>
  <c r="D11" i="2"/>
  <c r="F11" i="2" s="1"/>
  <c r="D12" i="2"/>
  <c r="F12" i="2" s="1"/>
  <c r="D13" i="2"/>
  <c r="F13" i="2" s="1"/>
  <c r="D14" i="2"/>
  <c r="E14" i="2" s="1"/>
  <c r="D15" i="2"/>
  <c r="D16" i="2"/>
  <c r="D17" i="2"/>
  <c r="D18" i="2"/>
  <c r="E18" i="2" s="1"/>
  <c r="D19" i="2"/>
  <c r="E19" i="2" s="1"/>
  <c r="D20" i="2"/>
  <c r="E20" i="2" s="1"/>
  <c r="D21" i="2"/>
  <c r="E21" i="2" s="1"/>
  <c r="D22" i="2"/>
  <c r="E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F35" i="2" s="1"/>
  <c r="D36" i="2"/>
  <c r="F36" i="2" s="1"/>
  <c r="D37" i="2"/>
  <c r="E37" i="2" s="1"/>
  <c r="D38" i="2"/>
  <c r="E38" i="2" s="1"/>
  <c r="D39" i="2"/>
  <c r="D40" i="2"/>
  <c r="D41" i="2"/>
  <c r="D42" i="2"/>
  <c r="F42" i="2" s="1"/>
  <c r="D43" i="2"/>
  <c r="E43" i="2" s="1"/>
  <c r="D44" i="2"/>
  <c r="E44" i="2" s="1"/>
  <c r="D45" i="2"/>
  <c r="E45" i="2" s="1"/>
  <c r="D46" i="2"/>
  <c r="E46" i="2" s="1"/>
  <c r="D47" i="2"/>
  <c r="F47" i="2" s="1"/>
  <c r="D48" i="2"/>
  <c r="F48" i="2" s="1"/>
  <c r="D49" i="2"/>
  <c r="F49" i="2" s="1"/>
  <c r="D50" i="2"/>
  <c r="F50" i="2" s="1"/>
  <c r="D51" i="2"/>
  <c r="D52" i="2"/>
  <c r="D53" i="2"/>
  <c r="D54" i="2"/>
  <c r="E54" i="2" s="1"/>
  <c r="D55" i="2"/>
  <c r="E55" i="2" s="1"/>
  <c r="D56" i="2"/>
  <c r="E56" i="2" s="1"/>
  <c r="D57" i="2"/>
  <c r="E57" i="2" s="1"/>
  <c r="D58" i="2"/>
  <c r="E58" i="2" s="1"/>
  <c r="D59" i="2"/>
  <c r="F59" i="2" s="1"/>
  <c r="D60" i="2"/>
  <c r="E60" i="2" s="1"/>
  <c r="D61" i="2"/>
  <c r="F61" i="2" s="1"/>
  <c r="D62" i="2"/>
  <c r="F62" i="2" s="1"/>
  <c r="D63" i="2"/>
  <c r="F63" i="2" s="1"/>
  <c r="D64" i="2"/>
  <c r="F64" i="2" s="1"/>
  <c r="D65" i="2"/>
  <c r="F65" i="2" s="1"/>
  <c r="D66" i="2"/>
  <c r="F66" i="2" s="1"/>
  <c r="D67" i="2"/>
  <c r="E67" i="2" s="1"/>
  <c r="D68" i="2"/>
  <c r="E68" i="2" s="1"/>
  <c r="D69" i="2"/>
  <c r="E69" i="2" s="1"/>
  <c r="D70" i="2"/>
  <c r="E70" i="2" s="1"/>
  <c r="D71" i="2"/>
  <c r="F71" i="2" s="1"/>
  <c r="D72" i="2"/>
  <c r="F72" i="2" s="1"/>
  <c r="D73" i="2"/>
  <c r="F73" i="2" s="1"/>
  <c r="D74" i="2"/>
  <c r="E74" i="2" s="1"/>
  <c r="D75" i="2"/>
  <c r="D76" i="2"/>
  <c r="D77" i="2"/>
  <c r="D78" i="2"/>
  <c r="F78" i="2" s="1"/>
  <c r="D79" i="2"/>
  <c r="E79" i="2" s="1"/>
  <c r="D80" i="2"/>
  <c r="E80" i="2" s="1"/>
  <c r="D81" i="2"/>
  <c r="E81" i="2" s="1"/>
  <c r="D82" i="2"/>
  <c r="E82" i="2" s="1"/>
  <c r="D83" i="2"/>
  <c r="F83" i="2" s="1"/>
  <c r="D84" i="2"/>
  <c r="F84" i="2" s="1"/>
  <c r="D85" i="2"/>
  <c r="E85" i="2" s="1"/>
  <c r="D86" i="2"/>
  <c r="E86" i="2" s="1"/>
  <c r="D87" i="2"/>
  <c r="D88" i="2"/>
  <c r="D89" i="2"/>
  <c r="D90" i="2"/>
  <c r="E90" i="2" s="1"/>
  <c r="D91" i="2"/>
  <c r="E91" i="2" s="1"/>
  <c r="D92" i="2"/>
  <c r="E92" i="2" s="1"/>
  <c r="D93" i="2"/>
  <c r="E93" i="2" s="1"/>
  <c r="D94" i="2"/>
  <c r="E94" i="2" s="1"/>
  <c r="D95" i="2"/>
  <c r="F95" i="2" s="1"/>
  <c r="D96" i="2"/>
  <c r="F96" i="2" s="1"/>
  <c r="D97" i="2"/>
  <c r="F97" i="2" s="1"/>
  <c r="D98" i="2"/>
  <c r="F98" i="2" s="1"/>
  <c r="D99" i="2"/>
  <c r="F99" i="2" s="1"/>
  <c r="D100" i="2"/>
  <c r="F100" i="2" s="1"/>
  <c r="D101" i="2"/>
  <c r="E101" i="2" s="1"/>
  <c r="D102" i="2"/>
  <c r="E102" i="2" s="1"/>
  <c r="D103" i="2"/>
  <c r="E103" i="2" s="1"/>
  <c r="D104" i="2"/>
  <c r="E104" i="2" s="1"/>
  <c r="D5" i="2"/>
  <c r="E5" i="2" s="1"/>
  <c r="J17" i="2" l="1"/>
  <c r="F33" i="2"/>
  <c r="F103" i="2"/>
  <c r="F31" i="2"/>
  <c r="E66" i="2"/>
  <c r="F102" i="2"/>
  <c r="F30" i="2"/>
  <c r="E65" i="2"/>
  <c r="F101" i="2"/>
  <c r="F9" i="2"/>
  <c r="J58" i="2"/>
  <c r="E100" i="2"/>
  <c r="E64" i="2"/>
  <c r="E28" i="2"/>
  <c r="F80" i="2"/>
  <c r="F44" i="2"/>
  <c r="F8" i="2"/>
  <c r="I38" i="2"/>
  <c r="J57" i="2"/>
  <c r="J22" i="2"/>
  <c r="F70" i="2"/>
  <c r="F34" i="2"/>
  <c r="J40" i="2"/>
  <c r="F5" i="2"/>
  <c r="F69" i="2"/>
  <c r="F104" i="2"/>
  <c r="F68" i="2"/>
  <c r="F32" i="2"/>
  <c r="F67" i="2"/>
  <c r="F82" i="2"/>
  <c r="F46" i="2"/>
  <c r="F10" i="2"/>
  <c r="E29" i="2"/>
  <c r="F45" i="2"/>
  <c r="E99" i="2"/>
  <c r="E63" i="2"/>
  <c r="E27" i="2"/>
  <c r="F79" i="2"/>
  <c r="F43" i="2"/>
  <c r="F7" i="2"/>
  <c r="I37" i="2"/>
  <c r="J56" i="2"/>
  <c r="J21" i="2"/>
  <c r="F81" i="2"/>
  <c r="F94" i="2"/>
  <c r="F58" i="2"/>
  <c r="F22" i="2"/>
  <c r="I36" i="2"/>
  <c r="J20" i="2"/>
  <c r="E98" i="2"/>
  <c r="E62" i="2"/>
  <c r="E73" i="2"/>
  <c r="E49" i="2"/>
  <c r="E25" i="2"/>
  <c r="I62" i="2"/>
  <c r="E84" i="2"/>
  <c r="E48" i="2"/>
  <c r="E24" i="2"/>
  <c r="I61" i="2"/>
  <c r="E83" i="2"/>
  <c r="E59" i="2"/>
  <c r="E35" i="2"/>
  <c r="I101" i="2"/>
  <c r="I60" i="2"/>
  <c r="F86" i="2"/>
  <c r="F38" i="2"/>
  <c r="F14" i="2"/>
  <c r="J46" i="2"/>
  <c r="F37" i="2"/>
  <c r="E50" i="2"/>
  <c r="E26" i="2"/>
  <c r="E97" i="2"/>
  <c r="E61" i="2"/>
  <c r="E13" i="2"/>
  <c r="E96" i="2"/>
  <c r="E72" i="2"/>
  <c r="E36" i="2"/>
  <c r="E12" i="2"/>
  <c r="E95" i="2"/>
  <c r="E23" i="2"/>
  <c r="F74" i="2"/>
  <c r="F85" i="2"/>
  <c r="I99" i="2"/>
  <c r="J45" i="2"/>
  <c r="F60" i="2"/>
  <c r="I98" i="2"/>
  <c r="J70" i="2"/>
  <c r="J44" i="2"/>
  <c r="E71" i="2"/>
  <c r="E47" i="2"/>
  <c r="E11" i="2"/>
  <c r="I100" i="2"/>
  <c r="I97" i="2"/>
  <c r="I39" i="2"/>
  <c r="J69" i="2"/>
  <c r="I77" i="2"/>
  <c r="I16" i="2"/>
  <c r="I76" i="2"/>
  <c r="I15" i="2"/>
  <c r="I75" i="2"/>
  <c r="I53" i="2"/>
  <c r="I14" i="2"/>
  <c r="I74" i="2"/>
  <c r="I52" i="2"/>
  <c r="I13" i="2"/>
  <c r="I73" i="2"/>
  <c r="I51" i="2"/>
  <c r="I29" i="2"/>
  <c r="I12" i="2"/>
  <c r="I89" i="2"/>
  <c r="I72" i="2"/>
  <c r="I50" i="2"/>
  <c r="I28" i="2"/>
  <c r="I88" i="2"/>
  <c r="I49" i="2"/>
  <c r="I27" i="2"/>
  <c r="I87" i="2"/>
  <c r="I65" i="2"/>
  <c r="I48" i="2"/>
  <c r="I26" i="2"/>
  <c r="I86" i="2"/>
  <c r="I64" i="2"/>
  <c r="I25" i="2"/>
  <c r="I85" i="2"/>
  <c r="I63" i="2"/>
  <c r="I41" i="2"/>
  <c r="I24" i="2"/>
  <c r="I95" i="2"/>
  <c r="I83" i="2"/>
  <c r="I71" i="2"/>
  <c r="I59" i="2"/>
  <c r="I47" i="2"/>
  <c r="I35" i="2"/>
  <c r="I23" i="2"/>
  <c r="I11" i="2"/>
  <c r="J106" i="2" l="1"/>
  <c r="F106" i="2"/>
  <c r="E106" i="2"/>
  <c r="I106" i="2"/>
</calcChain>
</file>

<file path=xl/sharedStrings.xml><?xml version="1.0" encoding="utf-8"?>
<sst xmlns="http://schemas.openxmlformats.org/spreadsheetml/2006/main" count="219" uniqueCount="17">
  <si>
    <t>order_value</t>
  </si>
  <si>
    <t>month</t>
  </si>
  <si>
    <t>apr</t>
  </si>
  <si>
    <t>jan</t>
  </si>
  <si>
    <t>mar</t>
  </si>
  <si>
    <t>feb</t>
  </si>
  <si>
    <t>may</t>
  </si>
  <si>
    <t>jun</t>
  </si>
  <si>
    <t>jul</t>
  </si>
  <si>
    <t>aug</t>
  </si>
  <si>
    <t>sep</t>
  </si>
  <si>
    <t>moving</t>
  </si>
  <si>
    <t>navie</t>
  </si>
  <si>
    <t>moving average</t>
  </si>
  <si>
    <t>rmse</t>
  </si>
  <si>
    <t>mpe</t>
  </si>
  <si>
    <t xml:space="preserve">using the moving average is accurate to the future predicts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</si>
</sst>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9" fontId="0" fillId="0" borderId="0" xfId="1" applyFont="1"/>
    <xf numFmtId="9" fontId="0" fillId="0" borderId="0" xfId="0" applyNumberFormat="1"/>
    <xf numFmtId="0" fontId="2" fillId="2" borderId="0" xfId="0" applyFont="1" applyFill="1"/>
    <xf numFmtId="0" fontId="3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order_value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Data!$B$2:$B$104</c:f>
              <c:strCache>
                <c:ptCount val="103"/>
                <c:pt idx="0">
                  <c:v>apr</c:v>
                </c:pt>
                <c:pt idx="1">
                  <c:v>jan</c:v>
                </c:pt>
                <c:pt idx="2">
                  <c:v>mar</c:v>
                </c:pt>
                <c:pt idx="3">
                  <c:v>feb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feb</c:v>
                </c:pt>
                <c:pt idx="8">
                  <c:v>aug</c:v>
                </c:pt>
                <c:pt idx="9">
                  <c:v>jan</c:v>
                </c:pt>
                <c:pt idx="10">
                  <c:v>apr</c:v>
                </c:pt>
                <c:pt idx="11">
                  <c:v>sep</c:v>
                </c:pt>
                <c:pt idx="12">
                  <c:v>jun</c:v>
                </c:pt>
                <c:pt idx="13">
                  <c:v>mar</c:v>
                </c:pt>
                <c:pt idx="14">
                  <c:v>may</c:v>
                </c:pt>
                <c:pt idx="15">
                  <c:v>jul</c:v>
                </c:pt>
                <c:pt idx="16">
                  <c:v>jan</c:v>
                </c:pt>
                <c:pt idx="17">
                  <c:v>aug</c:v>
                </c:pt>
                <c:pt idx="18">
                  <c:v>jun</c:v>
                </c:pt>
                <c:pt idx="19">
                  <c:v>feb</c:v>
                </c:pt>
                <c:pt idx="20">
                  <c:v>sep</c:v>
                </c:pt>
                <c:pt idx="21">
                  <c:v>apr</c:v>
                </c:pt>
                <c:pt idx="22">
                  <c:v>may</c:v>
                </c:pt>
                <c:pt idx="23">
                  <c:v>aug</c:v>
                </c:pt>
                <c:pt idx="24">
                  <c:v>mar</c:v>
                </c:pt>
                <c:pt idx="25">
                  <c:v>feb</c:v>
                </c:pt>
                <c:pt idx="26">
                  <c:v>jan</c:v>
                </c:pt>
                <c:pt idx="27">
                  <c:v>jun</c:v>
                </c:pt>
                <c:pt idx="28">
                  <c:v>jul</c:v>
                </c:pt>
                <c:pt idx="29">
                  <c:v>may</c:v>
                </c:pt>
                <c:pt idx="30">
                  <c:v>mar</c:v>
                </c:pt>
                <c:pt idx="31">
                  <c:v>jan</c:v>
                </c:pt>
                <c:pt idx="32">
                  <c:v>apr</c:v>
                </c:pt>
                <c:pt idx="33">
                  <c:v>aug</c:v>
                </c:pt>
                <c:pt idx="34">
                  <c:v>jun</c:v>
                </c:pt>
                <c:pt idx="35">
                  <c:v>feb</c:v>
                </c:pt>
                <c:pt idx="36">
                  <c:v>sep</c:v>
                </c:pt>
                <c:pt idx="37">
                  <c:v>mar</c:v>
                </c:pt>
                <c:pt idx="38">
                  <c:v>jul</c:v>
                </c:pt>
                <c:pt idx="39">
                  <c:v>may</c:v>
                </c:pt>
                <c:pt idx="40">
                  <c:v>apr</c:v>
                </c:pt>
                <c:pt idx="41">
                  <c:v>jan</c:v>
                </c:pt>
                <c:pt idx="42">
                  <c:v>jun</c:v>
                </c:pt>
                <c:pt idx="43">
                  <c:v>aug</c:v>
                </c:pt>
                <c:pt idx="44">
                  <c:v>feb</c:v>
                </c:pt>
                <c:pt idx="45">
                  <c:v>mar</c:v>
                </c:pt>
                <c:pt idx="46">
                  <c:v>jul</c:v>
                </c:pt>
                <c:pt idx="47">
                  <c:v>jan</c:v>
                </c:pt>
                <c:pt idx="48">
                  <c:v>apr</c:v>
                </c:pt>
                <c:pt idx="49">
                  <c:v>jun</c:v>
                </c:pt>
                <c:pt idx="50">
                  <c:v>aug</c:v>
                </c:pt>
                <c:pt idx="51">
                  <c:v>mar</c:v>
                </c:pt>
                <c:pt idx="52">
                  <c:v>jul</c:v>
                </c:pt>
                <c:pt idx="53">
                  <c:v>may</c:v>
                </c:pt>
                <c:pt idx="54">
                  <c:v>feb</c:v>
                </c:pt>
                <c:pt idx="55">
                  <c:v>jan</c:v>
                </c:pt>
                <c:pt idx="56">
                  <c:v>sep</c:v>
                </c:pt>
                <c:pt idx="57">
                  <c:v>mar</c:v>
                </c:pt>
                <c:pt idx="58">
                  <c:v>jun</c:v>
                </c:pt>
                <c:pt idx="59">
                  <c:v>apr</c:v>
                </c:pt>
                <c:pt idx="60">
                  <c:v>may</c:v>
                </c:pt>
                <c:pt idx="61">
                  <c:v>jul</c:v>
                </c:pt>
                <c:pt idx="62">
                  <c:v>sep</c:v>
                </c:pt>
                <c:pt idx="63">
                  <c:v>feb</c:v>
                </c:pt>
                <c:pt idx="64">
                  <c:v>jan</c:v>
                </c:pt>
                <c:pt idx="65">
                  <c:v>jun</c:v>
                </c:pt>
                <c:pt idx="66">
                  <c:v>aug</c:v>
                </c:pt>
                <c:pt idx="67">
                  <c:v>mar</c:v>
                </c:pt>
                <c:pt idx="68">
                  <c:v>jul</c:v>
                </c:pt>
                <c:pt idx="69">
                  <c:v>apr</c:v>
                </c:pt>
                <c:pt idx="70">
                  <c:v>jun</c:v>
                </c:pt>
                <c:pt idx="71">
                  <c:v>feb</c:v>
                </c:pt>
                <c:pt idx="72">
                  <c:v>aug</c:v>
                </c:pt>
                <c:pt idx="73">
                  <c:v>jan</c:v>
                </c:pt>
                <c:pt idx="74">
                  <c:v>may</c:v>
                </c:pt>
                <c:pt idx="75">
                  <c:v>mar</c:v>
                </c:pt>
                <c:pt idx="76">
                  <c:v>jul</c:v>
                </c:pt>
                <c:pt idx="77">
                  <c:v>apr</c:v>
                </c:pt>
                <c:pt idx="78">
                  <c:v>sep</c:v>
                </c:pt>
                <c:pt idx="79">
                  <c:v>jun</c:v>
                </c:pt>
                <c:pt idx="80">
                  <c:v>feb</c:v>
                </c:pt>
                <c:pt idx="81">
                  <c:v>may</c:v>
                </c:pt>
                <c:pt idx="82">
                  <c:v>aug</c:v>
                </c:pt>
                <c:pt idx="83">
                  <c:v>jan</c:v>
                </c:pt>
                <c:pt idx="84">
                  <c:v>mar</c:v>
                </c:pt>
                <c:pt idx="85">
                  <c:v>jul</c:v>
                </c:pt>
                <c:pt idx="86">
                  <c:v>sep</c:v>
                </c:pt>
                <c:pt idx="87">
                  <c:v>apr</c:v>
                </c:pt>
                <c:pt idx="88">
                  <c:v>jun</c:v>
                </c:pt>
                <c:pt idx="89">
                  <c:v>feb</c:v>
                </c:pt>
                <c:pt idx="90">
                  <c:v>mar</c:v>
                </c:pt>
                <c:pt idx="91">
                  <c:v>may</c:v>
                </c:pt>
                <c:pt idx="92">
                  <c:v>jul</c:v>
                </c:pt>
                <c:pt idx="93">
                  <c:v>jan</c:v>
                </c:pt>
                <c:pt idx="94">
                  <c:v>jun</c:v>
                </c:pt>
                <c:pt idx="95">
                  <c:v>apr</c:v>
                </c:pt>
                <c:pt idx="96">
                  <c:v>feb</c:v>
                </c:pt>
                <c:pt idx="97">
                  <c:v>aug</c:v>
                </c:pt>
                <c:pt idx="98">
                  <c:v>may</c:v>
                </c:pt>
                <c:pt idx="99">
                  <c:v>mar</c:v>
                </c:pt>
                <c:pt idx="100">
                  <c:v>apr</c:v>
                </c:pt>
                <c:pt idx="101">
                  <c:v>jan</c:v>
                </c:pt>
                <c:pt idx="102">
                  <c:v>mar</c:v>
                </c:pt>
              </c:strCache>
            </c:strRef>
          </c:cat>
          <c:val>
            <c:numRef>
              <c:f>Data!$C$2:$C$104</c:f>
              <c:numCache>
                <c:formatCode>General</c:formatCode>
                <c:ptCount val="103"/>
                <c:pt idx="0">
                  <c:v>4103</c:v>
                </c:pt>
                <c:pt idx="1">
                  <c:v>1807</c:v>
                </c:pt>
                <c:pt idx="2">
                  <c:v>149</c:v>
                </c:pt>
                <c:pt idx="3">
                  <c:v>6763</c:v>
                </c:pt>
                <c:pt idx="4">
                  <c:v>713</c:v>
                </c:pt>
                <c:pt idx="5">
                  <c:v>652</c:v>
                </c:pt>
                <c:pt idx="6">
                  <c:v>1119</c:v>
                </c:pt>
                <c:pt idx="7">
                  <c:v>1034</c:v>
                </c:pt>
                <c:pt idx="8">
                  <c:v>169</c:v>
                </c:pt>
                <c:pt idx="9">
                  <c:v>6201</c:v>
                </c:pt>
                <c:pt idx="10">
                  <c:v>1324</c:v>
                </c:pt>
                <c:pt idx="11">
                  <c:v>199</c:v>
                </c:pt>
                <c:pt idx="12">
                  <c:v>982</c:v>
                </c:pt>
                <c:pt idx="13">
                  <c:v>515</c:v>
                </c:pt>
                <c:pt idx="14">
                  <c:v>5375</c:v>
                </c:pt>
                <c:pt idx="15">
                  <c:v>631</c:v>
                </c:pt>
                <c:pt idx="16">
                  <c:v>914</c:v>
                </c:pt>
                <c:pt idx="17">
                  <c:v>1409</c:v>
                </c:pt>
                <c:pt idx="18">
                  <c:v>7713</c:v>
                </c:pt>
                <c:pt idx="19">
                  <c:v>1331</c:v>
                </c:pt>
                <c:pt idx="20">
                  <c:v>1489</c:v>
                </c:pt>
                <c:pt idx="21">
                  <c:v>331</c:v>
                </c:pt>
                <c:pt idx="22">
                  <c:v>2191</c:v>
                </c:pt>
                <c:pt idx="23">
                  <c:v>1726</c:v>
                </c:pt>
                <c:pt idx="24">
                  <c:v>1188</c:v>
                </c:pt>
                <c:pt idx="25">
                  <c:v>908</c:v>
                </c:pt>
                <c:pt idx="26">
                  <c:v>1587</c:v>
                </c:pt>
                <c:pt idx="27">
                  <c:v>2630</c:v>
                </c:pt>
                <c:pt idx="28">
                  <c:v>6634</c:v>
                </c:pt>
                <c:pt idx="29">
                  <c:v>222</c:v>
                </c:pt>
                <c:pt idx="30">
                  <c:v>1134</c:v>
                </c:pt>
                <c:pt idx="31">
                  <c:v>412</c:v>
                </c:pt>
                <c:pt idx="32">
                  <c:v>3695</c:v>
                </c:pt>
                <c:pt idx="33">
                  <c:v>534</c:v>
                </c:pt>
                <c:pt idx="34">
                  <c:v>5690</c:v>
                </c:pt>
                <c:pt idx="35">
                  <c:v>759</c:v>
                </c:pt>
                <c:pt idx="36">
                  <c:v>677</c:v>
                </c:pt>
                <c:pt idx="37">
                  <c:v>972</c:v>
                </c:pt>
                <c:pt idx="38">
                  <c:v>5066</c:v>
                </c:pt>
                <c:pt idx="39">
                  <c:v>198</c:v>
                </c:pt>
                <c:pt idx="40">
                  <c:v>1360</c:v>
                </c:pt>
                <c:pt idx="41">
                  <c:v>299</c:v>
                </c:pt>
                <c:pt idx="42">
                  <c:v>5512</c:v>
                </c:pt>
                <c:pt idx="43">
                  <c:v>937</c:v>
                </c:pt>
                <c:pt idx="44">
                  <c:v>6133</c:v>
                </c:pt>
                <c:pt idx="45">
                  <c:v>715</c:v>
                </c:pt>
                <c:pt idx="46">
                  <c:v>902</c:v>
                </c:pt>
                <c:pt idx="47">
                  <c:v>1250</c:v>
                </c:pt>
                <c:pt idx="48">
                  <c:v>3488</c:v>
                </c:pt>
                <c:pt idx="49">
                  <c:v>966</c:v>
                </c:pt>
                <c:pt idx="50">
                  <c:v>2593</c:v>
                </c:pt>
                <c:pt idx="51">
                  <c:v>306</c:v>
                </c:pt>
                <c:pt idx="52">
                  <c:v>2896</c:v>
                </c:pt>
                <c:pt idx="53">
                  <c:v>174</c:v>
                </c:pt>
                <c:pt idx="54">
                  <c:v>5708</c:v>
                </c:pt>
                <c:pt idx="55">
                  <c:v>530</c:v>
                </c:pt>
                <c:pt idx="56">
                  <c:v>825</c:v>
                </c:pt>
                <c:pt idx="57">
                  <c:v>1178</c:v>
                </c:pt>
                <c:pt idx="58">
                  <c:v>3420</c:v>
                </c:pt>
                <c:pt idx="59">
                  <c:v>801</c:v>
                </c:pt>
                <c:pt idx="60">
                  <c:v>799</c:v>
                </c:pt>
                <c:pt idx="61">
                  <c:v>287</c:v>
                </c:pt>
                <c:pt idx="62">
                  <c:v>5595</c:v>
                </c:pt>
                <c:pt idx="63">
                  <c:v>402</c:v>
                </c:pt>
                <c:pt idx="64">
                  <c:v>4869</c:v>
                </c:pt>
                <c:pt idx="65">
                  <c:v>1432</c:v>
                </c:pt>
                <c:pt idx="66">
                  <c:v>399</c:v>
                </c:pt>
                <c:pt idx="67">
                  <c:v>2595</c:v>
                </c:pt>
                <c:pt idx="68">
                  <c:v>6338</c:v>
                </c:pt>
                <c:pt idx="69">
                  <c:v>219</c:v>
                </c:pt>
                <c:pt idx="70">
                  <c:v>694</c:v>
                </c:pt>
                <c:pt idx="71">
                  <c:v>1053</c:v>
                </c:pt>
                <c:pt idx="72">
                  <c:v>2058</c:v>
                </c:pt>
                <c:pt idx="73">
                  <c:v>282</c:v>
                </c:pt>
                <c:pt idx="74">
                  <c:v>3867</c:v>
                </c:pt>
                <c:pt idx="75">
                  <c:v>1342</c:v>
                </c:pt>
                <c:pt idx="76">
                  <c:v>413</c:v>
                </c:pt>
                <c:pt idx="77">
                  <c:v>4441</c:v>
                </c:pt>
                <c:pt idx="78">
                  <c:v>762</c:v>
                </c:pt>
                <c:pt idx="79">
                  <c:v>1455</c:v>
                </c:pt>
                <c:pt idx="80">
                  <c:v>1181</c:v>
                </c:pt>
                <c:pt idx="81">
                  <c:v>264</c:v>
                </c:pt>
                <c:pt idx="82">
                  <c:v>1360</c:v>
                </c:pt>
                <c:pt idx="83">
                  <c:v>246</c:v>
                </c:pt>
                <c:pt idx="84">
                  <c:v>5468</c:v>
                </c:pt>
                <c:pt idx="85">
                  <c:v>730</c:v>
                </c:pt>
                <c:pt idx="86">
                  <c:v>778</c:v>
                </c:pt>
                <c:pt idx="87">
                  <c:v>5334</c:v>
                </c:pt>
                <c:pt idx="88">
                  <c:v>676</c:v>
                </c:pt>
                <c:pt idx="89">
                  <c:v>3535</c:v>
                </c:pt>
                <c:pt idx="90">
                  <c:v>817</c:v>
                </c:pt>
                <c:pt idx="91">
                  <c:v>323</c:v>
                </c:pt>
                <c:pt idx="92">
                  <c:v>4234</c:v>
                </c:pt>
                <c:pt idx="93">
                  <c:v>372</c:v>
                </c:pt>
                <c:pt idx="94">
                  <c:v>6189</c:v>
                </c:pt>
                <c:pt idx="95">
                  <c:v>756</c:v>
                </c:pt>
                <c:pt idx="96">
                  <c:v>816</c:v>
                </c:pt>
                <c:pt idx="97">
                  <c:v>1264</c:v>
                </c:pt>
                <c:pt idx="98">
                  <c:v>5048</c:v>
                </c:pt>
                <c:pt idx="99">
                  <c:v>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E-4940-9007-B2B570FE6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385888"/>
        <c:axId val="599386968"/>
      </c:lineChart>
      <c:catAx>
        <c:axId val="59938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86968"/>
        <c:crosses val="autoZero"/>
        <c:auto val="1"/>
        <c:lblAlgn val="ctr"/>
        <c:lblOffset val="100"/>
        <c:noMultiLvlLbl val="0"/>
      </c:catAx>
      <c:valAx>
        <c:axId val="59938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8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Timeseries!$B$1</c:f>
              <c:strCache>
                <c:ptCount val="1"/>
                <c:pt idx="0">
                  <c:v>order_value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Timeseries!$A$2:$A$104</c:f>
              <c:strCache>
                <c:ptCount val="103"/>
                <c:pt idx="0">
                  <c:v>apr</c:v>
                </c:pt>
                <c:pt idx="1">
                  <c:v>jan</c:v>
                </c:pt>
                <c:pt idx="2">
                  <c:v>mar</c:v>
                </c:pt>
                <c:pt idx="3">
                  <c:v>feb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feb</c:v>
                </c:pt>
                <c:pt idx="8">
                  <c:v>aug</c:v>
                </c:pt>
                <c:pt idx="9">
                  <c:v>jan</c:v>
                </c:pt>
                <c:pt idx="10">
                  <c:v>apr</c:v>
                </c:pt>
                <c:pt idx="11">
                  <c:v>sep</c:v>
                </c:pt>
                <c:pt idx="12">
                  <c:v>jun</c:v>
                </c:pt>
                <c:pt idx="13">
                  <c:v>mar</c:v>
                </c:pt>
                <c:pt idx="14">
                  <c:v>may</c:v>
                </c:pt>
                <c:pt idx="15">
                  <c:v>jul</c:v>
                </c:pt>
                <c:pt idx="16">
                  <c:v>jan</c:v>
                </c:pt>
                <c:pt idx="17">
                  <c:v>aug</c:v>
                </c:pt>
                <c:pt idx="18">
                  <c:v>jun</c:v>
                </c:pt>
                <c:pt idx="19">
                  <c:v>feb</c:v>
                </c:pt>
                <c:pt idx="20">
                  <c:v>sep</c:v>
                </c:pt>
                <c:pt idx="21">
                  <c:v>apr</c:v>
                </c:pt>
                <c:pt idx="22">
                  <c:v>may</c:v>
                </c:pt>
                <c:pt idx="23">
                  <c:v>aug</c:v>
                </c:pt>
                <c:pt idx="24">
                  <c:v>mar</c:v>
                </c:pt>
                <c:pt idx="25">
                  <c:v>feb</c:v>
                </c:pt>
                <c:pt idx="26">
                  <c:v>jan</c:v>
                </c:pt>
                <c:pt idx="27">
                  <c:v>jun</c:v>
                </c:pt>
                <c:pt idx="28">
                  <c:v>jul</c:v>
                </c:pt>
                <c:pt idx="29">
                  <c:v>may</c:v>
                </c:pt>
                <c:pt idx="30">
                  <c:v>mar</c:v>
                </c:pt>
                <c:pt idx="31">
                  <c:v>jan</c:v>
                </c:pt>
                <c:pt idx="32">
                  <c:v>apr</c:v>
                </c:pt>
                <c:pt idx="33">
                  <c:v>aug</c:v>
                </c:pt>
                <c:pt idx="34">
                  <c:v>jun</c:v>
                </c:pt>
                <c:pt idx="35">
                  <c:v>feb</c:v>
                </c:pt>
                <c:pt idx="36">
                  <c:v>sep</c:v>
                </c:pt>
                <c:pt idx="37">
                  <c:v>mar</c:v>
                </c:pt>
                <c:pt idx="38">
                  <c:v>jul</c:v>
                </c:pt>
                <c:pt idx="39">
                  <c:v>may</c:v>
                </c:pt>
                <c:pt idx="40">
                  <c:v>apr</c:v>
                </c:pt>
                <c:pt idx="41">
                  <c:v>jan</c:v>
                </c:pt>
                <c:pt idx="42">
                  <c:v>jun</c:v>
                </c:pt>
                <c:pt idx="43">
                  <c:v>aug</c:v>
                </c:pt>
                <c:pt idx="44">
                  <c:v>feb</c:v>
                </c:pt>
                <c:pt idx="45">
                  <c:v>mar</c:v>
                </c:pt>
                <c:pt idx="46">
                  <c:v>jul</c:v>
                </c:pt>
                <c:pt idx="47">
                  <c:v>jan</c:v>
                </c:pt>
                <c:pt idx="48">
                  <c:v>apr</c:v>
                </c:pt>
                <c:pt idx="49">
                  <c:v>jun</c:v>
                </c:pt>
                <c:pt idx="50">
                  <c:v>aug</c:v>
                </c:pt>
                <c:pt idx="51">
                  <c:v>mar</c:v>
                </c:pt>
                <c:pt idx="52">
                  <c:v>jul</c:v>
                </c:pt>
                <c:pt idx="53">
                  <c:v>may</c:v>
                </c:pt>
                <c:pt idx="54">
                  <c:v>feb</c:v>
                </c:pt>
                <c:pt idx="55">
                  <c:v>jan</c:v>
                </c:pt>
                <c:pt idx="56">
                  <c:v>sep</c:v>
                </c:pt>
                <c:pt idx="57">
                  <c:v>mar</c:v>
                </c:pt>
                <c:pt idx="58">
                  <c:v>jun</c:v>
                </c:pt>
                <c:pt idx="59">
                  <c:v>apr</c:v>
                </c:pt>
                <c:pt idx="60">
                  <c:v>may</c:v>
                </c:pt>
                <c:pt idx="61">
                  <c:v>jul</c:v>
                </c:pt>
                <c:pt idx="62">
                  <c:v>sep</c:v>
                </c:pt>
                <c:pt idx="63">
                  <c:v>feb</c:v>
                </c:pt>
                <c:pt idx="64">
                  <c:v>jan</c:v>
                </c:pt>
                <c:pt idx="65">
                  <c:v>jun</c:v>
                </c:pt>
                <c:pt idx="66">
                  <c:v>aug</c:v>
                </c:pt>
                <c:pt idx="67">
                  <c:v>mar</c:v>
                </c:pt>
                <c:pt idx="68">
                  <c:v>jul</c:v>
                </c:pt>
                <c:pt idx="69">
                  <c:v>apr</c:v>
                </c:pt>
                <c:pt idx="70">
                  <c:v>jun</c:v>
                </c:pt>
                <c:pt idx="71">
                  <c:v>feb</c:v>
                </c:pt>
                <c:pt idx="72">
                  <c:v>aug</c:v>
                </c:pt>
                <c:pt idx="73">
                  <c:v>jan</c:v>
                </c:pt>
                <c:pt idx="74">
                  <c:v>may</c:v>
                </c:pt>
                <c:pt idx="75">
                  <c:v>mar</c:v>
                </c:pt>
                <c:pt idx="76">
                  <c:v>jul</c:v>
                </c:pt>
                <c:pt idx="77">
                  <c:v>apr</c:v>
                </c:pt>
                <c:pt idx="78">
                  <c:v>sep</c:v>
                </c:pt>
                <c:pt idx="79">
                  <c:v>jun</c:v>
                </c:pt>
                <c:pt idx="80">
                  <c:v>feb</c:v>
                </c:pt>
                <c:pt idx="81">
                  <c:v>may</c:v>
                </c:pt>
                <c:pt idx="82">
                  <c:v>aug</c:v>
                </c:pt>
                <c:pt idx="83">
                  <c:v>jan</c:v>
                </c:pt>
                <c:pt idx="84">
                  <c:v>mar</c:v>
                </c:pt>
                <c:pt idx="85">
                  <c:v>jul</c:v>
                </c:pt>
                <c:pt idx="86">
                  <c:v>sep</c:v>
                </c:pt>
                <c:pt idx="87">
                  <c:v>apr</c:v>
                </c:pt>
                <c:pt idx="88">
                  <c:v>jun</c:v>
                </c:pt>
                <c:pt idx="89">
                  <c:v>feb</c:v>
                </c:pt>
                <c:pt idx="90">
                  <c:v>mar</c:v>
                </c:pt>
                <c:pt idx="91">
                  <c:v>may</c:v>
                </c:pt>
                <c:pt idx="92">
                  <c:v>jul</c:v>
                </c:pt>
                <c:pt idx="93">
                  <c:v>jan</c:v>
                </c:pt>
                <c:pt idx="94">
                  <c:v>jun</c:v>
                </c:pt>
                <c:pt idx="95">
                  <c:v>apr</c:v>
                </c:pt>
                <c:pt idx="96">
                  <c:v>feb</c:v>
                </c:pt>
                <c:pt idx="97">
                  <c:v>aug</c:v>
                </c:pt>
                <c:pt idx="98">
                  <c:v>may</c:v>
                </c:pt>
                <c:pt idx="99">
                  <c:v>mar</c:v>
                </c:pt>
                <c:pt idx="100">
                  <c:v>apr</c:v>
                </c:pt>
                <c:pt idx="101">
                  <c:v>jan</c:v>
                </c:pt>
                <c:pt idx="102">
                  <c:v>mar</c:v>
                </c:pt>
              </c:strCache>
            </c:strRef>
          </c:cat>
          <c:val>
            <c:numRef>
              <c:f>Timeseries!$B$2:$B$104</c:f>
              <c:numCache>
                <c:formatCode>General</c:formatCode>
                <c:ptCount val="103"/>
                <c:pt idx="0">
                  <c:v>4103</c:v>
                </c:pt>
                <c:pt idx="1">
                  <c:v>1807</c:v>
                </c:pt>
                <c:pt idx="2">
                  <c:v>149</c:v>
                </c:pt>
                <c:pt idx="3">
                  <c:v>6763</c:v>
                </c:pt>
                <c:pt idx="4">
                  <c:v>713</c:v>
                </c:pt>
                <c:pt idx="5">
                  <c:v>652</c:v>
                </c:pt>
                <c:pt idx="6">
                  <c:v>1119</c:v>
                </c:pt>
                <c:pt idx="7">
                  <c:v>1034</c:v>
                </c:pt>
                <c:pt idx="8">
                  <c:v>169</c:v>
                </c:pt>
                <c:pt idx="9">
                  <c:v>6201</c:v>
                </c:pt>
                <c:pt idx="10">
                  <c:v>1324</c:v>
                </c:pt>
                <c:pt idx="11">
                  <c:v>199</c:v>
                </c:pt>
                <c:pt idx="12">
                  <c:v>982</c:v>
                </c:pt>
                <c:pt idx="13">
                  <c:v>515</c:v>
                </c:pt>
                <c:pt idx="14">
                  <c:v>5375</c:v>
                </c:pt>
                <c:pt idx="15">
                  <c:v>631</c:v>
                </c:pt>
                <c:pt idx="16">
                  <c:v>914</c:v>
                </c:pt>
                <c:pt idx="17">
                  <c:v>1409</c:v>
                </c:pt>
                <c:pt idx="18">
                  <c:v>7713</c:v>
                </c:pt>
                <c:pt idx="19">
                  <c:v>1331</c:v>
                </c:pt>
                <c:pt idx="20">
                  <c:v>1489</c:v>
                </c:pt>
                <c:pt idx="21">
                  <c:v>331</c:v>
                </c:pt>
                <c:pt idx="22">
                  <c:v>2191</c:v>
                </c:pt>
                <c:pt idx="23">
                  <c:v>1726</c:v>
                </c:pt>
                <c:pt idx="24">
                  <c:v>1188</c:v>
                </c:pt>
                <c:pt idx="25">
                  <c:v>908</c:v>
                </c:pt>
                <c:pt idx="26">
                  <c:v>1587</c:v>
                </c:pt>
                <c:pt idx="27">
                  <c:v>2630</c:v>
                </c:pt>
                <c:pt idx="28">
                  <c:v>6634</c:v>
                </c:pt>
                <c:pt idx="29">
                  <c:v>222</c:v>
                </c:pt>
                <c:pt idx="30">
                  <c:v>1134</c:v>
                </c:pt>
                <c:pt idx="31">
                  <c:v>412</c:v>
                </c:pt>
                <c:pt idx="32">
                  <c:v>3695</c:v>
                </c:pt>
                <c:pt idx="33">
                  <c:v>534</c:v>
                </c:pt>
                <c:pt idx="34">
                  <c:v>5690</c:v>
                </c:pt>
                <c:pt idx="35">
                  <c:v>759</c:v>
                </c:pt>
                <c:pt idx="36">
                  <c:v>677</c:v>
                </c:pt>
                <c:pt idx="37">
                  <c:v>972</c:v>
                </c:pt>
                <c:pt idx="38">
                  <c:v>5066</c:v>
                </c:pt>
                <c:pt idx="39">
                  <c:v>198</c:v>
                </c:pt>
                <c:pt idx="40">
                  <c:v>1360</c:v>
                </c:pt>
                <c:pt idx="41">
                  <c:v>299</c:v>
                </c:pt>
                <c:pt idx="42">
                  <c:v>5512</c:v>
                </c:pt>
                <c:pt idx="43">
                  <c:v>937</c:v>
                </c:pt>
                <c:pt idx="44">
                  <c:v>6133</c:v>
                </c:pt>
                <c:pt idx="45">
                  <c:v>715</c:v>
                </c:pt>
                <c:pt idx="46">
                  <c:v>902</c:v>
                </c:pt>
                <c:pt idx="47">
                  <c:v>1250</c:v>
                </c:pt>
                <c:pt idx="48">
                  <c:v>3488</c:v>
                </c:pt>
                <c:pt idx="49">
                  <c:v>966</c:v>
                </c:pt>
                <c:pt idx="50">
                  <c:v>2593</c:v>
                </c:pt>
                <c:pt idx="51">
                  <c:v>306</c:v>
                </c:pt>
                <c:pt idx="52">
                  <c:v>2896</c:v>
                </c:pt>
                <c:pt idx="53">
                  <c:v>174</c:v>
                </c:pt>
                <c:pt idx="54">
                  <c:v>5708</c:v>
                </c:pt>
                <c:pt idx="55">
                  <c:v>530</c:v>
                </c:pt>
                <c:pt idx="56">
                  <c:v>825</c:v>
                </c:pt>
                <c:pt idx="57">
                  <c:v>1178</c:v>
                </c:pt>
                <c:pt idx="58">
                  <c:v>3420</c:v>
                </c:pt>
                <c:pt idx="59">
                  <c:v>801</c:v>
                </c:pt>
                <c:pt idx="60">
                  <c:v>799</c:v>
                </c:pt>
                <c:pt idx="61">
                  <c:v>287</c:v>
                </c:pt>
                <c:pt idx="62">
                  <c:v>5595</c:v>
                </c:pt>
                <c:pt idx="63">
                  <c:v>402</c:v>
                </c:pt>
                <c:pt idx="64">
                  <c:v>4869</c:v>
                </c:pt>
                <c:pt idx="65">
                  <c:v>1432</c:v>
                </c:pt>
                <c:pt idx="66">
                  <c:v>399</c:v>
                </c:pt>
                <c:pt idx="67">
                  <c:v>2595</c:v>
                </c:pt>
                <c:pt idx="68">
                  <c:v>6338</c:v>
                </c:pt>
                <c:pt idx="69">
                  <c:v>219</c:v>
                </c:pt>
                <c:pt idx="70">
                  <c:v>694</c:v>
                </c:pt>
                <c:pt idx="71">
                  <c:v>1053</c:v>
                </c:pt>
                <c:pt idx="72">
                  <c:v>2058</c:v>
                </c:pt>
                <c:pt idx="73">
                  <c:v>282</c:v>
                </c:pt>
                <c:pt idx="74">
                  <c:v>3867</c:v>
                </c:pt>
                <c:pt idx="75">
                  <c:v>1342</c:v>
                </c:pt>
                <c:pt idx="76">
                  <c:v>413</c:v>
                </c:pt>
                <c:pt idx="77">
                  <c:v>4441</c:v>
                </c:pt>
                <c:pt idx="78">
                  <c:v>762</c:v>
                </c:pt>
                <c:pt idx="79">
                  <c:v>1455</c:v>
                </c:pt>
                <c:pt idx="80">
                  <c:v>1181</c:v>
                </c:pt>
                <c:pt idx="81">
                  <c:v>264</c:v>
                </c:pt>
                <c:pt idx="82">
                  <c:v>1360</c:v>
                </c:pt>
                <c:pt idx="83">
                  <c:v>246</c:v>
                </c:pt>
                <c:pt idx="84">
                  <c:v>5468</c:v>
                </c:pt>
                <c:pt idx="85">
                  <c:v>730</c:v>
                </c:pt>
                <c:pt idx="86">
                  <c:v>778</c:v>
                </c:pt>
                <c:pt idx="87">
                  <c:v>5334</c:v>
                </c:pt>
                <c:pt idx="88">
                  <c:v>676</c:v>
                </c:pt>
                <c:pt idx="89">
                  <c:v>3535</c:v>
                </c:pt>
                <c:pt idx="90">
                  <c:v>817</c:v>
                </c:pt>
                <c:pt idx="91">
                  <c:v>323</c:v>
                </c:pt>
                <c:pt idx="92">
                  <c:v>4234</c:v>
                </c:pt>
                <c:pt idx="93">
                  <c:v>372</c:v>
                </c:pt>
                <c:pt idx="94">
                  <c:v>6189</c:v>
                </c:pt>
                <c:pt idx="95">
                  <c:v>756</c:v>
                </c:pt>
                <c:pt idx="96">
                  <c:v>816</c:v>
                </c:pt>
                <c:pt idx="97">
                  <c:v>1264</c:v>
                </c:pt>
                <c:pt idx="98">
                  <c:v>5048</c:v>
                </c:pt>
                <c:pt idx="99">
                  <c:v>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65-42F3-BD61-0B19150CBC9C}"/>
            </c:ext>
          </c:extLst>
        </c:ser>
        <c:ser>
          <c:idx val="1"/>
          <c:order val="1"/>
          <c:tx>
            <c:strRef>
              <c:f>Timeseries!$C$1</c:f>
              <c:strCache>
                <c:ptCount val="1"/>
                <c:pt idx="0">
                  <c:v>moving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Timeseries!$A$2:$A$104</c:f>
              <c:strCache>
                <c:ptCount val="103"/>
                <c:pt idx="0">
                  <c:v>apr</c:v>
                </c:pt>
                <c:pt idx="1">
                  <c:v>jan</c:v>
                </c:pt>
                <c:pt idx="2">
                  <c:v>mar</c:v>
                </c:pt>
                <c:pt idx="3">
                  <c:v>feb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feb</c:v>
                </c:pt>
                <c:pt idx="8">
                  <c:v>aug</c:v>
                </c:pt>
                <c:pt idx="9">
                  <c:v>jan</c:v>
                </c:pt>
                <c:pt idx="10">
                  <c:v>apr</c:v>
                </c:pt>
                <c:pt idx="11">
                  <c:v>sep</c:v>
                </c:pt>
                <c:pt idx="12">
                  <c:v>jun</c:v>
                </c:pt>
                <c:pt idx="13">
                  <c:v>mar</c:v>
                </c:pt>
                <c:pt idx="14">
                  <c:v>may</c:v>
                </c:pt>
                <c:pt idx="15">
                  <c:v>jul</c:v>
                </c:pt>
                <c:pt idx="16">
                  <c:v>jan</c:v>
                </c:pt>
                <c:pt idx="17">
                  <c:v>aug</c:v>
                </c:pt>
                <c:pt idx="18">
                  <c:v>jun</c:v>
                </c:pt>
                <c:pt idx="19">
                  <c:v>feb</c:v>
                </c:pt>
                <c:pt idx="20">
                  <c:v>sep</c:v>
                </c:pt>
                <c:pt idx="21">
                  <c:v>apr</c:v>
                </c:pt>
                <c:pt idx="22">
                  <c:v>may</c:v>
                </c:pt>
                <c:pt idx="23">
                  <c:v>aug</c:v>
                </c:pt>
                <c:pt idx="24">
                  <c:v>mar</c:v>
                </c:pt>
                <c:pt idx="25">
                  <c:v>feb</c:v>
                </c:pt>
                <c:pt idx="26">
                  <c:v>jan</c:v>
                </c:pt>
                <c:pt idx="27">
                  <c:v>jun</c:v>
                </c:pt>
                <c:pt idx="28">
                  <c:v>jul</c:v>
                </c:pt>
                <c:pt idx="29">
                  <c:v>may</c:v>
                </c:pt>
                <c:pt idx="30">
                  <c:v>mar</c:v>
                </c:pt>
                <c:pt idx="31">
                  <c:v>jan</c:v>
                </c:pt>
                <c:pt idx="32">
                  <c:v>apr</c:v>
                </c:pt>
                <c:pt idx="33">
                  <c:v>aug</c:v>
                </c:pt>
                <c:pt idx="34">
                  <c:v>jun</c:v>
                </c:pt>
                <c:pt idx="35">
                  <c:v>feb</c:v>
                </c:pt>
                <c:pt idx="36">
                  <c:v>sep</c:v>
                </c:pt>
                <c:pt idx="37">
                  <c:v>mar</c:v>
                </c:pt>
                <c:pt idx="38">
                  <c:v>jul</c:v>
                </c:pt>
                <c:pt idx="39">
                  <c:v>may</c:v>
                </c:pt>
                <c:pt idx="40">
                  <c:v>apr</c:v>
                </c:pt>
                <c:pt idx="41">
                  <c:v>jan</c:v>
                </c:pt>
                <c:pt idx="42">
                  <c:v>jun</c:v>
                </c:pt>
                <c:pt idx="43">
                  <c:v>aug</c:v>
                </c:pt>
                <c:pt idx="44">
                  <c:v>feb</c:v>
                </c:pt>
                <c:pt idx="45">
                  <c:v>mar</c:v>
                </c:pt>
                <c:pt idx="46">
                  <c:v>jul</c:v>
                </c:pt>
                <c:pt idx="47">
                  <c:v>jan</c:v>
                </c:pt>
                <c:pt idx="48">
                  <c:v>apr</c:v>
                </c:pt>
                <c:pt idx="49">
                  <c:v>jun</c:v>
                </c:pt>
                <c:pt idx="50">
                  <c:v>aug</c:v>
                </c:pt>
                <c:pt idx="51">
                  <c:v>mar</c:v>
                </c:pt>
                <c:pt idx="52">
                  <c:v>jul</c:v>
                </c:pt>
                <c:pt idx="53">
                  <c:v>may</c:v>
                </c:pt>
                <c:pt idx="54">
                  <c:v>feb</c:v>
                </c:pt>
                <c:pt idx="55">
                  <c:v>jan</c:v>
                </c:pt>
                <c:pt idx="56">
                  <c:v>sep</c:v>
                </c:pt>
                <c:pt idx="57">
                  <c:v>mar</c:v>
                </c:pt>
                <c:pt idx="58">
                  <c:v>jun</c:v>
                </c:pt>
                <c:pt idx="59">
                  <c:v>apr</c:v>
                </c:pt>
                <c:pt idx="60">
                  <c:v>may</c:v>
                </c:pt>
                <c:pt idx="61">
                  <c:v>jul</c:v>
                </c:pt>
                <c:pt idx="62">
                  <c:v>sep</c:v>
                </c:pt>
                <c:pt idx="63">
                  <c:v>feb</c:v>
                </c:pt>
                <c:pt idx="64">
                  <c:v>jan</c:v>
                </c:pt>
                <c:pt idx="65">
                  <c:v>jun</c:v>
                </c:pt>
                <c:pt idx="66">
                  <c:v>aug</c:v>
                </c:pt>
                <c:pt idx="67">
                  <c:v>mar</c:v>
                </c:pt>
                <c:pt idx="68">
                  <c:v>jul</c:v>
                </c:pt>
                <c:pt idx="69">
                  <c:v>apr</c:v>
                </c:pt>
                <c:pt idx="70">
                  <c:v>jun</c:v>
                </c:pt>
                <c:pt idx="71">
                  <c:v>feb</c:v>
                </c:pt>
                <c:pt idx="72">
                  <c:v>aug</c:v>
                </c:pt>
                <c:pt idx="73">
                  <c:v>jan</c:v>
                </c:pt>
                <c:pt idx="74">
                  <c:v>may</c:v>
                </c:pt>
                <c:pt idx="75">
                  <c:v>mar</c:v>
                </c:pt>
                <c:pt idx="76">
                  <c:v>jul</c:v>
                </c:pt>
                <c:pt idx="77">
                  <c:v>apr</c:v>
                </c:pt>
                <c:pt idx="78">
                  <c:v>sep</c:v>
                </c:pt>
                <c:pt idx="79">
                  <c:v>jun</c:v>
                </c:pt>
                <c:pt idx="80">
                  <c:v>feb</c:v>
                </c:pt>
                <c:pt idx="81">
                  <c:v>may</c:v>
                </c:pt>
                <c:pt idx="82">
                  <c:v>aug</c:v>
                </c:pt>
                <c:pt idx="83">
                  <c:v>jan</c:v>
                </c:pt>
                <c:pt idx="84">
                  <c:v>mar</c:v>
                </c:pt>
                <c:pt idx="85">
                  <c:v>jul</c:v>
                </c:pt>
                <c:pt idx="86">
                  <c:v>sep</c:v>
                </c:pt>
                <c:pt idx="87">
                  <c:v>apr</c:v>
                </c:pt>
                <c:pt idx="88">
                  <c:v>jun</c:v>
                </c:pt>
                <c:pt idx="89">
                  <c:v>feb</c:v>
                </c:pt>
                <c:pt idx="90">
                  <c:v>mar</c:v>
                </c:pt>
                <c:pt idx="91">
                  <c:v>may</c:v>
                </c:pt>
                <c:pt idx="92">
                  <c:v>jul</c:v>
                </c:pt>
                <c:pt idx="93">
                  <c:v>jan</c:v>
                </c:pt>
                <c:pt idx="94">
                  <c:v>jun</c:v>
                </c:pt>
                <c:pt idx="95">
                  <c:v>apr</c:v>
                </c:pt>
                <c:pt idx="96">
                  <c:v>feb</c:v>
                </c:pt>
                <c:pt idx="97">
                  <c:v>aug</c:v>
                </c:pt>
                <c:pt idx="98">
                  <c:v>may</c:v>
                </c:pt>
                <c:pt idx="99">
                  <c:v>mar</c:v>
                </c:pt>
                <c:pt idx="100">
                  <c:v>apr</c:v>
                </c:pt>
                <c:pt idx="101">
                  <c:v>jan</c:v>
                </c:pt>
                <c:pt idx="102">
                  <c:v>mar</c:v>
                </c:pt>
              </c:strCache>
            </c:strRef>
          </c:cat>
          <c:val>
            <c:numRef>
              <c:f>Timeseries!$C$2:$C$104</c:f>
              <c:numCache>
                <c:formatCode>General</c:formatCode>
                <c:ptCount val="103"/>
                <c:pt idx="3">
                  <c:v>2019.6666666666667</c:v>
                </c:pt>
                <c:pt idx="4">
                  <c:v>2906.3333333333335</c:v>
                </c:pt>
                <c:pt idx="5">
                  <c:v>2541.6666666666665</c:v>
                </c:pt>
                <c:pt idx="6">
                  <c:v>2709.3333333333335</c:v>
                </c:pt>
                <c:pt idx="7">
                  <c:v>828</c:v>
                </c:pt>
                <c:pt idx="8">
                  <c:v>935</c:v>
                </c:pt>
                <c:pt idx="9">
                  <c:v>774</c:v>
                </c:pt>
                <c:pt idx="10">
                  <c:v>2468</c:v>
                </c:pt>
                <c:pt idx="11">
                  <c:v>2564.6666666666665</c:v>
                </c:pt>
                <c:pt idx="12">
                  <c:v>2574.6666666666665</c:v>
                </c:pt>
                <c:pt idx="13">
                  <c:v>835</c:v>
                </c:pt>
                <c:pt idx="14">
                  <c:v>565.33333333333337</c:v>
                </c:pt>
                <c:pt idx="15">
                  <c:v>2290.6666666666665</c:v>
                </c:pt>
                <c:pt idx="16">
                  <c:v>2173.6666666666665</c:v>
                </c:pt>
                <c:pt idx="17">
                  <c:v>2306.6666666666665</c:v>
                </c:pt>
                <c:pt idx="18">
                  <c:v>984.66666666666663</c:v>
                </c:pt>
                <c:pt idx="19">
                  <c:v>3345.3333333333335</c:v>
                </c:pt>
                <c:pt idx="20">
                  <c:v>3484.3333333333335</c:v>
                </c:pt>
                <c:pt idx="21">
                  <c:v>3511</c:v>
                </c:pt>
                <c:pt idx="22">
                  <c:v>1050.3333333333333</c:v>
                </c:pt>
                <c:pt idx="23">
                  <c:v>1337</c:v>
                </c:pt>
                <c:pt idx="24">
                  <c:v>1416</c:v>
                </c:pt>
                <c:pt idx="25">
                  <c:v>1701.6666666666667</c:v>
                </c:pt>
                <c:pt idx="26">
                  <c:v>1274</c:v>
                </c:pt>
                <c:pt idx="27">
                  <c:v>1227.6666666666667</c:v>
                </c:pt>
                <c:pt idx="28">
                  <c:v>1708.3333333333333</c:v>
                </c:pt>
                <c:pt idx="29">
                  <c:v>3617</c:v>
                </c:pt>
                <c:pt idx="30">
                  <c:v>3162</c:v>
                </c:pt>
                <c:pt idx="31">
                  <c:v>2663.3333333333335</c:v>
                </c:pt>
                <c:pt idx="32">
                  <c:v>589.33333333333337</c:v>
                </c:pt>
                <c:pt idx="33">
                  <c:v>1747</c:v>
                </c:pt>
                <c:pt idx="34">
                  <c:v>1547</c:v>
                </c:pt>
                <c:pt idx="35">
                  <c:v>3306.3333333333335</c:v>
                </c:pt>
                <c:pt idx="36">
                  <c:v>2327.6666666666665</c:v>
                </c:pt>
                <c:pt idx="37">
                  <c:v>2375.3333333333335</c:v>
                </c:pt>
                <c:pt idx="38">
                  <c:v>802.66666666666663</c:v>
                </c:pt>
                <c:pt idx="39">
                  <c:v>2238.3333333333335</c:v>
                </c:pt>
                <c:pt idx="40">
                  <c:v>2078.6666666666665</c:v>
                </c:pt>
                <c:pt idx="41">
                  <c:v>2208</c:v>
                </c:pt>
                <c:pt idx="42">
                  <c:v>619</c:v>
                </c:pt>
                <c:pt idx="43">
                  <c:v>2390.3333333333335</c:v>
                </c:pt>
                <c:pt idx="44">
                  <c:v>2249.3333333333335</c:v>
                </c:pt>
                <c:pt idx="45">
                  <c:v>4194</c:v>
                </c:pt>
                <c:pt idx="46">
                  <c:v>2595</c:v>
                </c:pt>
                <c:pt idx="47">
                  <c:v>2583.3333333333335</c:v>
                </c:pt>
                <c:pt idx="48">
                  <c:v>955.66666666666663</c:v>
                </c:pt>
                <c:pt idx="49">
                  <c:v>1880</c:v>
                </c:pt>
                <c:pt idx="50">
                  <c:v>1901.3333333333333</c:v>
                </c:pt>
                <c:pt idx="51">
                  <c:v>2349</c:v>
                </c:pt>
                <c:pt idx="52">
                  <c:v>1288.3333333333333</c:v>
                </c:pt>
                <c:pt idx="53">
                  <c:v>1931.6666666666667</c:v>
                </c:pt>
                <c:pt idx="54">
                  <c:v>1125.3333333333333</c:v>
                </c:pt>
                <c:pt idx="55">
                  <c:v>2926</c:v>
                </c:pt>
                <c:pt idx="56">
                  <c:v>2137.3333333333335</c:v>
                </c:pt>
                <c:pt idx="57">
                  <c:v>2354.3333333333335</c:v>
                </c:pt>
                <c:pt idx="58">
                  <c:v>844.33333333333337</c:v>
                </c:pt>
                <c:pt idx="59">
                  <c:v>1807.6666666666667</c:v>
                </c:pt>
                <c:pt idx="60">
                  <c:v>1799.6666666666667</c:v>
                </c:pt>
                <c:pt idx="61">
                  <c:v>1673.3333333333333</c:v>
                </c:pt>
                <c:pt idx="62">
                  <c:v>629</c:v>
                </c:pt>
                <c:pt idx="63">
                  <c:v>2227</c:v>
                </c:pt>
                <c:pt idx="64">
                  <c:v>2094.6666666666665</c:v>
                </c:pt>
                <c:pt idx="65">
                  <c:v>3622</c:v>
                </c:pt>
                <c:pt idx="66">
                  <c:v>2234.3333333333335</c:v>
                </c:pt>
                <c:pt idx="67">
                  <c:v>2233.3333333333335</c:v>
                </c:pt>
                <c:pt idx="68">
                  <c:v>1475.3333333333333</c:v>
                </c:pt>
                <c:pt idx="69">
                  <c:v>3110.6666666666665</c:v>
                </c:pt>
                <c:pt idx="70">
                  <c:v>3050.6666666666665</c:v>
                </c:pt>
                <c:pt idx="71">
                  <c:v>2417</c:v>
                </c:pt>
                <c:pt idx="72">
                  <c:v>655.33333333333337</c:v>
                </c:pt>
                <c:pt idx="73">
                  <c:v>1268.3333333333333</c:v>
                </c:pt>
                <c:pt idx="74">
                  <c:v>1131</c:v>
                </c:pt>
                <c:pt idx="75">
                  <c:v>2069</c:v>
                </c:pt>
                <c:pt idx="76">
                  <c:v>1830.3333333333333</c:v>
                </c:pt>
                <c:pt idx="77">
                  <c:v>1874</c:v>
                </c:pt>
                <c:pt idx="78">
                  <c:v>2065.3333333333335</c:v>
                </c:pt>
                <c:pt idx="79">
                  <c:v>1872</c:v>
                </c:pt>
                <c:pt idx="80">
                  <c:v>2219.3333333333335</c:v>
                </c:pt>
                <c:pt idx="81">
                  <c:v>1132.6666666666667</c:v>
                </c:pt>
                <c:pt idx="82">
                  <c:v>966.66666666666663</c:v>
                </c:pt>
                <c:pt idx="83">
                  <c:v>935</c:v>
                </c:pt>
                <c:pt idx="84">
                  <c:v>623.33333333333337</c:v>
                </c:pt>
                <c:pt idx="85">
                  <c:v>2358</c:v>
                </c:pt>
                <c:pt idx="86">
                  <c:v>2148</c:v>
                </c:pt>
                <c:pt idx="87">
                  <c:v>2325.3333333333335</c:v>
                </c:pt>
                <c:pt idx="88">
                  <c:v>2280.6666666666665</c:v>
                </c:pt>
                <c:pt idx="89">
                  <c:v>2262.6666666666665</c:v>
                </c:pt>
                <c:pt idx="90">
                  <c:v>3181.6666666666665</c:v>
                </c:pt>
                <c:pt idx="91">
                  <c:v>1676</c:v>
                </c:pt>
                <c:pt idx="92">
                  <c:v>1558.3333333333333</c:v>
                </c:pt>
                <c:pt idx="93">
                  <c:v>1791.3333333333333</c:v>
                </c:pt>
                <c:pt idx="94">
                  <c:v>1643</c:v>
                </c:pt>
                <c:pt idx="95">
                  <c:v>3598.3333333333335</c:v>
                </c:pt>
                <c:pt idx="96">
                  <c:v>2439</c:v>
                </c:pt>
                <c:pt idx="97">
                  <c:v>2587</c:v>
                </c:pt>
                <c:pt idx="98">
                  <c:v>945.33333333333337</c:v>
                </c:pt>
                <c:pt idx="99">
                  <c:v>2376</c:v>
                </c:pt>
                <c:pt idx="100">
                  <c:v>2286.6666666666665</c:v>
                </c:pt>
                <c:pt idx="101">
                  <c:v>2798</c:v>
                </c:pt>
                <c:pt idx="102">
                  <c:v>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65-42F3-BD61-0B19150CBC9C}"/>
            </c:ext>
          </c:extLst>
        </c:ser>
        <c:ser>
          <c:idx val="2"/>
          <c:order val="2"/>
          <c:tx>
            <c:strRef>
              <c:f>Timeseries!$D$1</c:f>
              <c:strCache>
                <c:ptCount val="1"/>
                <c:pt idx="0">
                  <c:v>navie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Timeseries!$A$2:$A$104</c:f>
              <c:strCache>
                <c:ptCount val="103"/>
                <c:pt idx="0">
                  <c:v>apr</c:v>
                </c:pt>
                <c:pt idx="1">
                  <c:v>jan</c:v>
                </c:pt>
                <c:pt idx="2">
                  <c:v>mar</c:v>
                </c:pt>
                <c:pt idx="3">
                  <c:v>feb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feb</c:v>
                </c:pt>
                <c:pt idx="8">
                  <c:v>aug</c:v>
                </c:pt>
                <c:pt idx="9">
                  <c:v>jan</c:v>
                </c:pt>
                <c:pt idx="10">
                  <c:v>apr</c:v>
                </c:pt>
                <c:pt idx="11">
                  <c:v>sep</c:v>
                </c:pt>
                <c:pt idx="12">
                  <c:v>jun</c:v>
                </c:pt>
                <c:pt idx="13">
                  <c:v>mar</c:v>
                </c:pt>
                <c:pt idx="14">
                  <c:v>may</c:v>
                </c:pt>
                <c:pt idx="15">
                  <c:v>jul</c:v>
                </c:pt>
                <c:pt idx="16">
                  <c:v>jan</c:v>
                </c:pt>
                <c:pt idx="17">
                  <c:v>aug</c:v>
                </c:pt>
                <c:pt idx="18">
                  <c:v>jun</c:v>
                </c:pt>
                <c:pt idx="19">
                  <c:v>feb</c:v>
                </c:pt>
                <c:pt idx="20">
                  <c:v>sep</c:v>
                </c:pt>
                <c:pt idx="21">
                  <c:v>apr</c:v>
                </c:pt>
                <c:pt idx="22">
                  <c:v>may</c:v>
                </c:pt>
                <c:pt idx="23">
                  <c:v>aug</c:v>
                </c:pt>
                <c:pt idx="24">
                  <c:v>mar</c:v>
                </c:pt>
                <c:pt idx="25">
                  <c:v>feb</c:v>
                </c:pt>
                <c:pt idx="26">
                  <c:v>jan</c:v>
                </c:pt>
                <c:pt idx="27">
                  <c:v>jun</c:v>
                </c:pt>
                <c:pt idx="28">
                  <c:v>jul</c:v>
                </c:pt>
                <c:pt idx="29">
                  <c:v>may</c:v>
                </c:pt>
                <c:pt idx="30">
                  <c:v>mar</c:v>
                </c:pt>
                <c:pt idx="31">
                  <c:v>jan</c:v>
                </c:pt>
                <c:pt idx="32">
                  <c:v>apr</c:v>
                </c:pt>
                <c:pt idx="33">
                  <c:v>aug</c:v>
                </c:pt>
                <c:pt idx="34">
                  <c:v>jun</c:v>
                </c:pt>
                <c:pt idx="35">
                  <c:v>feb</c:v>
                </c:pt>
                <c:pt idx="36">
                  <c:v>sep</c:v>
                </c:pt>
                <c:pt idx="37">
                  <c:v>mar</c:v>
                </c:pt>
                <c:pt idx="38">
                  <c:v>jul</c:v>
                </c:pt>
                <c:pt idx="39">
                  <c:v>may</c:v>
                </c:pt>
                <c:pt idx="40">
                  <c:v>apr</c:v>
                </c:pt>
                <c:pt idx="41">
                  <c:v>jan</c:v>
                </c:pt>
                <c:pt idx="42">
                  <c:v>jun</c:v>
                </c:pt>
                <c:pt idx="43">
                  <c:v>aug</c:v>
                </c:pt>
                <c:pt idx="44">
                  <c:v>feb</c:v>
                </c:pt>
                <c:pt idx="45">
                  <c:v>mar</c:v>
                </c:pt>
                <c:pt idx="46">
                  <c:v>jul</c:v>
                </c:pt>
                <c:pt idx="47">
                  <c:v>jan</c:v>
                </c:pt>
                <c:pt idx="48">
                  <c:v>apr</c:v>
                </c:pt>
                <c:pt idx="49">
                  <c:v>jun</c:v>
                </c:pt>
                <c:pt idx="50">
                  <c:v>aug</c:v>
                </c:pt>
                <c:pt idx="51">
                  <c:v>mar</c:v>
                </c:pt>
                <c:pt idx="52">
                  <c:v>jul</c:v>
                </c:pt>
                <c:pt idx="53">
                  <c:v>may</c:v>
                </c:pt>
                <c:pt idx="54">
                  <c:v>feb</c:v>
                </c:pt>
                <c:pt idx="55">
                  <c:v>jan</c:v>
                </c:pt>
                <c:pt idx="56">
                  <c:v>sep</c:v>
                </c:pt>
                <c:pt idx="57">
                  <c:v>mar</c:v>
                </c:pt>
                <c:pt idx="58">
                  <c:v>jun</c:v>
                </c:pt>
                <c:pt idx="59">
                  <c:v>apr</c:v>
                </c:pt>
                <c:pt idx="60">
                  <c:v>may</c:v>
                </c:pt>
                <c:pt idx="61">
                  <c:v>jul</c:v>
                </c:pt>
                <c:pt idx="62">
                  <c:v>sep</c:v>
                </c:pt>
                <c:pt idx="63">
                  <c:v>feb</c:v>
                </c:pt>
                <c:pt idx="64">
                  <c:v>jan</c:v>
                </c:pt>
                <c:pt idx="65">
                  <c:v>jun</c:v>
                </c:pt>
                <c:pt idx="66">
                  <c:v>aug</c:v>
                </c:pt>
                <c:pt idx="67">
                  <c:v>mar</c:v>
                </c:pt>
                <c:pt idx="68">
                  <c:v>jul</c:v>
                </c:pt>
                <c:pt idx="69">
                  <c:v>apr</c:v>
                </c:pt>
                <c:pt idx="70">
                  <c:v>jun</c:v>
                </c:pt>
                <c:pt idx="71">
                  <c:v>feb</c:v>
                </c:pt>
                <c:pt idx="72">
                  <c:v>aug</c:v>
                </c:pt>
                <c:pt idx="73">
                  <c:v>jan</c:v>
                </c:pt>
                <c:pt idx="74">
                  <c:v>may</c:v>
                </c:pt>
                <c:pt idx="75">
                  <c:v>mar</c:v>
                </c:pt>
                <c:pt idx="76">
                  <c:v>jul</c:v>
                </c:pt>
                <c:pt idx="77">
                  <c:v>apr</c:v>
                </c:pt>
                <c:pt idx="78">
                  <c:v>sep</c:v>
                </c:pt>
                <c:pt idx="79">
                  <c:v>jun</c:v>
                </c:pt>
                <c:pt idx="80">
                  <c:v>feb</c:v>
                </c:pt>
                <c:pt idx="81">
                  <c:v>may</c:v>
                </c:pt>
                <c:pt idx="82">
                  <c:v>aug</c:v>
                </c:pt>
                <c:pt idx="83">
                  <c:v>jan</c:v>
                </c:pt>
                <c:pt idx="84">
                  <c:v>mar</c:v>
                </c:pt>
                <c:pt idx="85">
                  <c:v>jul</c:v>
                </c:pt>
                <c:pt idx="86">
                  <c:v>sep</c:v>
                </c:pt>
                <c:pt idx="87">
                  <c:v>apr</c:v>
                </c:pt>
                <c:pt idx="88">
                  <c:v>jun</c:v>
                </c:pt>
                <c:pt idx="89">
                  <c:v>feb</c:v>
                </c:pt>
                <c:pt idx="90">
                  <c:v>mar</c:v>
                </c:pt>
                <c:pt idx="91">
                  <c:v>may</c:v>
                </c:pt>
                <c:pt idx="92">
                  <c:v>jul</c:v>
                </c:pt>
                <c:pt idx="93">
                  <c:v>jan</c:v>
                </c:pt>
                <c:pt idx="94">
                  <c:v>jun</c:v>
                </c:pt>
                <c:pt idx="95">
                  <c:v>apr</c:v>
                </c:pt>
                <c:pt idx="96">
                  <c:v>feb</c:v>
                </c:pt>
                <c:pt idx="97">
                  <c:v>aug</c:v>
                </c:pt>
                <c:pt idx="98">
                  <c:v>may</c:v>
                </c:pt>
                <c:pt idx="99">
                  <c:v>mar</c:v>
                </c:pt>
                <c:pt idx="100">
                  <c:v>apr</c:v>
                </c:pt>
                <c:pt idx="101">
                  <c:v>jan</c:v>
                </c:pt>
                <c:pt idx="102">
                  <c:v>mar</c:v>
                </c:pt>
              </c:strCache>
            </c:strRef>
          </c:cat>
          <c:val>
            <c:numRef>
              <c:f>Timeseries!$D$2:$D$104</c:f>
              <c:numCache>
                <c:formatCode>General</c:formatCode>
                <c:ptCount val="103"/>
                <c:pt idx="3">
                  <c:v>2200.5</c:v>
                </c:pt>
                <c:pt idx="4">
                  <c:v>7666.5</c:v>
                </c:pt>
                <c:pt idx="5">
                  <c:v>787.5</c:v>
                </c:pt>
                <c:pt idx="6">
                  <c:v>4033.5</c:v>
                </c:pt>
                <c:pt idx="7">
                  <c:v>1475.5</c:v>
                </c:pt>
                <c:pt idx="8">
                  <c:v>1360</c:v>
                </c:pt>
                <c:pt idx="9">
                  <c:v>728.5</c:v>
                </c:pt>
                <c:pt idx="10">
                  <c:v>6718</c:v>
                </c:pt>
                <c:pt idx="11">
                  <c:v>1408.5</c:v>
                </c:pt>
                <c:pt idx="12">
                  <c:v>3299.5</c:v>
                </c:pt>
                <c:pt idx="13">
                  <c:v>1644</c:v>
                </c:pt>
                <c:pt idx="14">
                  <c:v>614.5</c:v>
                </c:pt>
                <c:pt idx="15">
                  <c:v>5866</c:v>
                </c:pt>
                <c:pt idx="16">
                  <c:v>888.5</c:v>
                </c:pt>
                <c:pt idx="17">
                  <c:v>3601.5</c:v>
                </c:pt>
                <c:pt idx="18">
                  <c:v>1724.5</c:v>
                </c:pt>
                <c:pt idx="19">
                  <c:v>8170</c:v>
                </c:pt>
                <c:pt idx="20">
                  <c:v>2035.5</c:v>
                </c:pt>
                <c:pt idx="21">
                  <c:v>5345.5</c:v>
                </c:pt>
                <c:pt idx="22">
                  <c:v>996.5</c:v>
                </c:pt>
                <c:pt idx="23">
                  <c:v>2935.5</c:v>
                </c:pt>
                <c:pt idx="24">
                  <c:v>1891.5</c:v>
                </c:pt>
                <c:pt idx="25">
                  <c:v>2283.5</c:v>
                </c:pt>
                <c:pt idx="26">
                  <c:v>1771</c:v>
                </c:pt>
                <c:pt idx="27">
                  <c:v>2181</c:v>
                </c:pt>
                <c:pt idx="28">
                  <c:v>3084</c:v>
                </c:pt>
                <c:pt idx="29">
                  <c:v>7427.5</c:v>
                </c:pt>
                <c:pt idx="30">
                  <c:v>1537</c:v>
                </c:pt>
                <c:pt idx="31">
                  <c:v>4451</c:v>
                </c:pt>
                <c:pt idx="32">
                  <c:v>523</c:v>
                </c:pt>
                <c:pt idx="33">
                  <c:v>4262</c:v>
                </c:pt>
                <c:pt idx="34">
                  <c:v>740</c:v>
                </c:pt>
                <c:pt idx="35">
                  <c:v>7537.5</c:v>
                </c:pt>
                <c:pt idx="36">
                  <c:v>1026</c:v>
                </c:pt>
                <c:pt idx="37">
                  <c:v>3522</c:v>
                </c:pt>
                <c:pt idx="38">
                  <c:v>1351.5</c:v>
                </c:pt>
                <c:pt idx="39">
                  <c:v>5404.5</c:v>
                </c:pt>
                <c:pt idx="40">
                  <c:v>684</c:v>
                </c:pt>
                <c:pt idx="41">
                  <c:v>3893</c:v>
                </c:pt>
                <c:pt idx="42">
                  <c:v>398</c:v>
                </c:pt>
                <c:pt idx="43">
                  <c:v>6192</c:v>
                </c:pt>
                <c:pt idx="44">
                  <c:v>1086.5</c:v>
                </c:pt>
                <c:pt idx="45">
                  <c:v>8889</c:v>
                </c:pt>
                <c:pt idx="46">
                  <c:v>1183.5</c:v>
                </c:pt>
                <c:pt idx="47">
                  <c:v>3968.5</c:v>
                </c:pt>
                <c:pt idx="48">
                  <c:v>1607.5</c:v>
                </c:pt>
                <c:pt idx="49">
                  <c:v>3939</c:v>
                </c:pt>
                <c:pt idx="50">
                  <c:v>1591</c:v>
                </c:pt>
                <c:pt idx="51">
                  <c:v>4337</c:v>
                </c:pt>
                <c:pt idx="52">
                  <c:v>789</c:v>
                </c:pt>
                <c:pt idx="53">
                  <c:v>4192.5</c:v>
                </c:pt>
                <c:pt idx="54">
                  <c:v>327</c:v>
                </c:pt>
                <c:pt idx="55">
                  <c:v>7156</c:v>
                </c:pt>
                <c:pt idx="56">
                  <c:v>617</c:v>
                </c:pt>
                <c:pt idx="57">
                  <c:v>3679</c:v>
                </c:pt>
                <c:pt idx="58">
                  <c:v>1443</c:v>
                </c:pt>
                <c:pt idx="59">
                  <c:v>3832.5</c:v>
                </c:pt>
                <c:pt idx="60">
                  <c:v>1390</c:v>
                </c:pt>
                <c:pt idx="61">
                  <c:v>2509</c:v>
                </c:pt>
                <c:pt idx="62">
                  <c:v>687.5</c:v>
                </c:pt>
                <c:pt idx="63">
                  <c:v>5994.5</c:v>
                </c:pt>
                <c:pt idx="64">
                  <c:v>545.5</c:v>
                </c:pt>
                <c:pt idx="65">
                  <c:v>7666.5</c:v>
                </c:pt>
                <c:pt idx="66">
                  <c:v>1633</c:v>
                </c:pt>
                <c:pt idx="67">
                  <c:v>2833.5</c:v>
                </c:pt>
                <c:pt idx="68">
                  <c:v>3311</c:v>
                </c:pt>
                <c:pt idx="69">
                  <c:v>6537.5</c:v>
                </c:pt>
                <c:pt idx="70">
                  <c:v>1516.5</c:v>
                </c:pt>
                <c:pt idx="71">
                  <c:v>3863</c:v>
                </c:pt>
                <c:pt idx="72">
                  <c:v>1162.5</c:v>
                </c:pt>
                <c:pt idx="73">
                  <c:v>2405</c:v>
                </c:pt>
                <c:pt idx="74">
                  <c:v>808.5</c:v>
                </c:pt>
                <c:pt idx="75">
                  <c:v>4896</c:v>
                </c:pt>
                <c:pt idx="76">
                  <c:v>1483</c:v>
                </c:pt>
                <c:pt idx="77">
                  <c:v>2346.5</c:v>
                </c:pt>
                <c:pt idx="78">
                  <c:v>5112</c:v>
                </c:pt>
                <c:pt idx="79">
                  <c:v>968.5</c:v>
                </c:pt>
                <c:pt idx="80">
                  <c:v>3675.5</c:v>
                </c:pt>
                <c:pt idx="81">
                  <c:v>1562</c:v>
                </c:pt>
                <c:pt idx="82">
                  <c:v>991.5</c:v>
                </c:pt>
                <c:pt idx="83">
                  <c:v>1950.5</c:v>
                </c:pt>
                <c:pt idx="84">
                  <c:v>378</c:v>
                </c:pt>
                <c:pt idx="85">
                  <c:v>6148</c:v>
                </c:pt>
                <c:pt idx="86">
                  <c:v>853</c:v>
                </c:pt>
                <c:pt idx="87">
                  <c:v>3512</c:v>
                </c:pt>
                <c:pt idx="88">
                  <c:v>5699</c:v>
                </c:pt>
                <c:pt idx="89">
                  <c:v>1065</c:v>
                </c:pt>
                <c:pt idx="90">
                  <c:v>6202</c:v>
                </c:pt>
                <c:pt idx="91">
                  <c:v>1155</c:v>
                </c:pt>
                <c:pt idx="92">
                  <c:v>2090.5</c:v>
                </c:pt>
                <c:pt idx="93">
                  <c:v>4642.5</c:v>
                </c:pt>
                <c:pt idx="94">
                  <c:v>533.5</c:v>
                </c:pt>
                <c:pt idx="95">
                  <c:v>8306</c:v>
                </c:pt>
                <c:pt idx="96">
                  <c:v>942</c:v>
                </c:pt>
                <c:pt idx="97">
                  <c:v>3910.5</c:v>
                </c:pt>
                <c:pt idx="98">
                  <c:v>1642</c:v>
                </c:pt>
                <c:pt idx="99">
                  <c:v>5456</c:v>
                </c:pt>
                <c:pt idx="100">
                  <c:v>1180</c:v>
                </c:pt>
                <c:pt idx="101">
                  <c:v>2524</c:v>
                </c:pt>
                <c:pt idx="102">
                  <c:v>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65-42F3-BD61-0B19150CB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468776"/>
        <c:axId val="688465176"/>
      </c:lineChart>
      <c:catAx>
        <c:axId val="68846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65176"/>
        <c:crosses val="autoZero"/>
        <c:auto val="1"/>
        <c:lblAlgn val="ctr"/>
        <c:lblOffset val="100"/>
        <c:noMultiLvlLbl val="0"/>
      </c:catAx>
      <c:valAx>
        <c:axId val="68846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6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1</xdr:row>
      <xdr:rowOff>12700</xdr:rowOff>
    </xdr:from>
    <xdr:to>
      <xdr:col>18</xdr:col>
      <xdr:colOff>57150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80AD86-B50E-416D-BD21-1026C2669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4</xdr:row>
      <xdr:rowOff>63500</xdr:rowOff>
    </xdr:from>
    <xdr:to>
      <xdr:col>16</xdr:col>
      <xdr:colOff>34926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A01DB7-F640-4CE1-A7C6-9EC2830C0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5327-88CB-4F1B-90FB-5BFF70B53C67}">
  <dimension ref="B1:J106"/>
  <sheetViews>
    <sheetView topLeftCell="A100" workbookViewId="0">
      <selection activeCell="F106" sqref="F106"/>
    </sheetView>
  </sheetViews>
  <sheetFormatPr defaultRowHeight="15.5" x14ac:dyDescent="0.35"/>
  <cols>
    <col min="2" max="2" width="6.453125" bestFit="1" customWidth="1"/>
    <col min="3" max="3" width="10.90625" style="1" bestFit="1" customWidth="1"/>
    <col min="4" max="4" width="14" bestFit="1" customWidth="1"/>
    <col min="5" max="5" width="11.81640625" bestFit="1" customWidth="1"/>
    <col min="6" max="6" width="7.1796875" bestFit="1" customWidth="1"/>
    <col min="8" max="8" width="6.81640625" bestFit="1" customWidth="1"/>
    <col min="9" max="9" width="11.81640625" bestFit="1" customWidth="1"/>
    <col min="10" max="10" width="7.1796875" bestFit="1" customWidth="1"/>
  </cols>
  <sheetData>
    <row r="1" spans="2:10" x14ac:dyDescent="0.35">
      <c r="B1" s="5" t="s">
        <v>1</v>
      </c>
      <c r="C1" s="5" t="s">
        <v>0</v>
      </c>
      <c r="D1" s="5" t="s">
        <v>13</v>
      </c>
      <c r="E1" s="5" t="s">
        <v>14</v>
      </c>
      <c r="F1" s="5" t="s">
        <v>15</v>
      </c>
      <c r="H1" s="4" t="s">
        <v>12</v>
      </c>
      <c r="I1" s="4" t="s">
        <v>14</v>
      </c>
      <c r="J1" s="4" t="s">
        <v>15</v>
      </c>
    </row>
    <row r="2" spans="2:10" x14ac:dyDescent="0.35">
      <c r="B2" t="s">
        <v>2</v>
      </c>
      <c r="C2" s="1">
        <v>4103</v>
      </c>
    </row>
    <row r="3" spans="2:10" x14ac:dyDescent="0.35">
      <c r="B3" t="s">
        <v>3</v>
      </c>
      <c r="C3" s="1">
        <v>1807</v>
      </c>
    </row>
    <row r="4" spans="2:10" x14ac:dyDescent="0.35">
      <c r="B4" t="s">
        <v>4</v>
      </c>
      <c r="C4" s="1">
        <v>149</v>
      </c>
    </row>
    <row r="5" spans="2:10" x14ac:dyDescent="0.35">
      <c r="B5" t="s">
        <v>5</v>
      </c>
      <c r="C5" s="1">
        <v>6763</v>
      </c>
      <c r="D5">
        <f>AVERAGE(C2:C4)</f>
        <v>2019.6666666666667</v>
      </c>
      <c r="E5">
        <f>(D5-C5)^2</f>
        <v>22499211.111111108</v>
      </c>
      <c r="F5" s="2">
        <f>(D5-C5)/C5</f>
        <v>-0.70136527182216957</v>
      </c>
      <c r="H5">
        <f t="shared" ref="H5:H36" si="0">C2+C4-C3+C3-C2/2</f>
        <v>2200.5</v>
      </c>
      <c r="I5">
        <f t="shared" ref="I5:I36" si="1">(H5-C5)^2</f>
        <v>20816406.25</v>
      </c>
      <c r="J5" s="2">
        <f t="shared" ref="J5:J36" si="2">(H5-C5)/C5</f>
        <v>-0.67462664498003844</v>
      </c>
    </row>
    <row r="6" spans="2:10" x14ac:dyDescent="0.35">
      <c r="B6" t="s">
        <v>6</v>
      </c>
      <c r="C6" s="1">
        <v>713</v>
      </c>
      <c r="D6">
        <f t="shared" ref="D6:D69" si="3">AVERAGE(C3:C5)</f>
        <v>2906.3333333333335</v>
      </c>
      <c r="E6">
        <f t="shared" ref="E6:E69" si="4">(D6-C6)^2</f>
        <v>4810711.1111111119</v>
      </c>
      <c r="F6" s="2">
        <f t="shared" ref="F6:F69" si="5">(D6-C6)/C6</f>
        <v>3.0762038335670878</v>
      </c>
      <c r="H6">
        <f t="shared" si="0"/>
        <v>7666.5</v>
      </c>
      <c r="I6">
        <f t="shared" si="1"/>
        <v>48351162.25</v>
      </c>
      <c r="J6" s="2">
        <f t="shared" si="2"/>
        <v>9.7524544179523147</v>
      </c>
    </row>
    <row r="7" spans="2:10" x14ac:dyDescent="0.35">
      <c r="B7" t="s">
        <v>7</v>
      </c>
      <c r="C7" s="1">
        <v>652</v>
      </c>
      <c r="D7">
        <f t="shared" si="3"/>
        <v>2541.6666666666665</v>
      </c>
      <c r="E7">
        <f t="shared" si="4"/>
        <v>3570840.1111111105</v>
      </c>
      <c r="F7" s="2">
        <f t="shared" si="5"/>
        <v>2.8982617586912065</v>
      </c>
      <c r="H7">
        <f t="shared" si="0"/>
        <v>787.5</v>
      </c>
      <c r="I7">
        <f t="shared" si="1"/>
        <v>18360.25</v>
      </c>
      <c r="J7" s="2">
        <f t="shared" si="2"/>
        <v>0.20782208588957055</v>
      </c>
    </row>
    <row r="8" spans="2:10" x14ac:dyDescent="0.35">
      <c r="B8" t="s">
        <v>8</v>
      </c>
      <c r="C8" s="1">
        <v>1119</v>
      </c>
      <c r="D8">
        <f t="shared" si="3"/>
        <v>2709.3333333333335</v>
      </c>
      <c r="E8">
        <f t="shared" si="4"/>
        <v>2529160.1111111115</v>
      </c>
      <c r="F8" s="2">
        <f t="shared" si="5"/>
        <v>1.4212094131665178</v>
      </c>
      <c r="H8">
        <f t="shared" si="0"/>
        <v>4033.5</v>
      </c>
      <c r="I8">
        <f t="shared" si="1"/>
        <v>8494310.25</v>
      </c>
      <c r="J8" s="2">
        <f t="shared" si="2"/>
        <v>2.6045576407506701</v>
      </c>
    </row>
    <row r="9" spans="2:10" x14ac:dyDescent="0.35">
      <c r="B9" t="s">
        <v>5</v>
      </c>
      <c r="C9" s="1">
        <v>1034</v>
      </c>
      <c r="D9">
        <f t="shared" si="3"/>
        <v>828</v>
      </c>
      <c r="E9">
        <f t="shared" si="4"/>
        <v>42436</v>
      </c>
      <c r="F9" s="2">
        <f t="shared" si="5"/>
        <v>-0.19922630560928434</v>
      </c>
      <c r="H9">
        <f t="shared" si="0"/>
        <v>1475.5</v>
      </c>
      <c r="I9">
        <f t="shared" si="1"/>
        <v>194922.25</v>
      </c>
      <c r="J9" s="2">
        <f t="shared" si="2"/>
        <v>0.42698259187620891</v>
      </c>
    </row>
    <row r="10" spans="2:10" x14ac:dyDescent="0.35">
      <c r="B10" t="s">
        <v>9</v>
      </c>
      <c r="C10" s="1">
        <v>169</v>
      </c>
      <c r="D10">
        <f t="shared" si="3"/>
        <v>935</v>
      </c>
      <c r="E10">
        <f t="shared" si="4"/>
        <v>586756</v>
      </c>
      <c r="F10" s="2">
        <f t="shared" si="5"/>
        <v>4.5325443786982245</v>
      </c>
      <c r="H10">
        <f t="shared" si="0"/>
        <v>1360</v>
      </c>
      <c r="I10">
        <f t="shared" si="1"/>
        <v>1418481</v>
      </c>
      <c r="J10" s="2">
        <f t="shared" si="2"/>
        <v>7.0473372781065091</v>
      </c>
    </row>
    <row r="11" spans="2:10" x14ac:dyDescent="0.35">
      <c r="B11" t="s">
        <v>3</v>
      </c>
      <c r="C11" s="1">
        <v>6201</v>
      </c>
      <c r="D11">
        <f t="shared" si="3"/>
        <v>774</v>
      </c>
      <c r="E11">
        <f t="shared" si="4"/>
        <v>29452329</v>
      </c>
      <c r="F11" s="2">
        <f t="shared" si="5"/>
        <v>-0.87518142235123364</v>
      </c>
      <c r="H11">
        <f t="shared" si="0"/>
        <v>728.5</v>
      </c>
      <c r="I11">
        <f t="shared" si="1"/>
        <v>29948256.25</v>
      </c>
      <c r="J11" s="2">
        <f t="shared" si="2"/>
        <v>-0.88251894855668445</v>
      </c>
    </row>
    <row r="12" spans="2:10" x14ac:dyDescent="0.35">
      <c r="B12" t="s">
        <v>2</v>
      </c>
      <c r="C12" s="1">
        <v>1324</v>
      </c>
      <c r="D12">
        <f t="shared" si="3"/>
        <v>2468</v>
      </c>
      <c r="E12">
        <f t="shared" si="4"/>
        <v>1308736</v>
      </c>
      <c r="F12" s="2">
        <f t="shared" si="5"/>
        <v>0.86404833836858008</v>
      </c>
      <c r="H12">
        <f t="shared" si="0"/>
        <v>6718</v>
      </c>
      <c r="I12">
        <f t="shared" si="1"/>
        <v>29095236</v>
      </c>
      <c r="J12" s="2">
        <f t="shared" si="2"/>
        <v>4.0740181268882179</v>
      </c>
    </row>
    <row r="13" spans="2:10" x14ac:dyDescent="0.35">
      <c r="B13" t="s">
        <v>10</v>
      </c>
      <c r="C13" s="1">
        <v>199</v>
      </c>
      <c r="D13">
        <f t="shared" si="3"/>
        <v>2564.6666666666665</v>
      </c>
      <c r="E13">
        <f t="shared" si="4"/>
        <v>5596378.7777777771</v>
      </c>
      <c r="F13" s="2">
        <f t="shared" si="5"/>
        <v>11.887772194304857</v>
      </c>
      <c r="H13">
        <f t="shared" si="0"/>
        <v>1408.5</v>
      </c>
      <c r="I13">
        <f t="shared" si="1"/>
        <v>1462890.25</v>
      </c>
      <c r="J13" s="2">
        <f t="shared" si="2"/>
        <v>6.0778894472361813</v>
      </c>
    </row>
    <row r="14" spans="2:10" x14ac:dyDescent="0.35">
      <c r="B14" t="s">
        <v>7</v>
      </c>
      <c r="C14" s="1">
        <v>982</v>
      </c>
      <c r="D14">
        <f t="shared" si="3"/>
        <v>2574.6666666666665</v>
      </c>
      <c r="E14">
        <f t="shared" si="4"/>
        <v>2536587.1111111105</v>
      </c>
      <c r="F14" s="2">
        <f t="shared" si="5"/>
        <v>1.6218601493550575</v>
      </c>
      <c r="H14">
        <f t="shared" si="0"/>
        <v>3299.5</v>
      </c>
      <c r="I14">
        <f t="shared" si="1"/>
        <v>5370806.25</v>
      </c>
      <c r="J14" s="2">
        <f t="shared" si="2"/>
        <v>2.3599796334012222</v>
      </c>
    </row>
    <row r="15" spans="2:10" x14ac:dyDescent="0.35">
      <c r="B15" t="s">
        <v>4</v>
      </c>
      <c r="C15" s="1">
        <v>515</v>
      </c>
      <c r="D15">
        <f t="shared" si="3"/>
        <v>835</v>
      </c>
      <c r="E15">
        <f t="shared" si="4"/>
        <v>102400</v>
      </c>
      <c r="F15" s="2">
        <f t="shared" si="5"/>
        <v>0.62135922330097082</v>
      </c>
      <c r="H15">
        <f t="shared" si="0"/>
        <v>1644</v>
      </c>
      <c r="I15">
        <f t="shared" si="1"/>
        <v>1274641</v>
      </c>
      <c r="J15" s="2">
        <f t="shared" si="2"/>
        <v>2.1922330097087377</v>
      </c>
    </row>
    <row r="16" spans="2:10" x14ac:dyDescent="0.35">
      <c r="B16" t="s">
        <v>6</v>
      </c>
      <c r="C16" s="1">
        <v>5375</v>
      </c>
      <c r="D16">
        <f t="shared" si="3"/>
        <v>565.33333333333337</v>
      </c>
      <c r="E16">
        <f t="shared" si="4"/>
        <v>23132893.444444448</v>
      </c>
      <c r="F16" s="2">
        <f t="shared" si="5"/>
        <v>-0.89482170542635664</v>
      </c>
      <c r="H16">
        <f t="shared" si="0"/>
        <v>614.5</v>
      </c>
      <c r="I16">
        <f t="shared" si="1"/>
        <v>22662360.25</v>
      </c>
      <c r="J16" s="2">
        <f t="shared" si="2"/>
        <v>-0.88567441860465113</v>
      </c>
    </row>
    <row r="17" spans="2:10" x14ac:dyDescent="0.35">
      <c r="B17" t="s">
        <v>8</v>
      </c>
      <c r="C17" s="1">
        <v>631</v>
      </c>
      <c r="D17">
        <f t="shared" si="3"/>
        <v>2290.6666666666665</v>
      </c>
      <c r="E17">
        <f t="shared" si="4"/>
        <v>2754493.444444444</v>
      </c>
      <c r="F17" s="2">
        <f t="shared" si="5"/>
        <v>2.6302165874273635</v>
      </c>
      <c r="H17">
        <f t="shared" si="0"/>
        <v>5866</v>
      </c>
      <c r="I17">
        <f t="shared" si="1"/>
        <v>27405225</v>
      </c>
      <c r="J17" s="2">
        <f t="shared" si="2"/>
        <v>8.2963549920760702</v>
      </c>
    </row>
    <row r="18" spans="2:10" x14ac:dyDescent="0.35">
      <c r="B18" t="s">
        <v>3</v>
      </c>
      <c r="C18" s="1">
        <v>914</v>
      </c>
      <c r="D18">
        <f t="shared" si="3"/>
        <v>2173.6666666666665</v>
      </c>
      <c r="E18">
        <f t="shared" si="4"/>
        <v>1586760.1111111108</v>
      </c>
      <c r="F18" s="2">
        <f t="shared" si="5"/>
        <v>1.3781911013858497</v>
      </c>
      <c r="H18">
        <f t="shared" si="0"/>
        <v>888.5</v>
      </c>
      <c r="I18">
        <f t="shared" si="1"/>
        <v>650.25</v>
      </c>
      <c r="J18" s="2">
        <f t="shared" si="2"/>
        <v>-2.7899343544857767E-2</v>
      </c>
    </row>
    <row r="19" spans="2:10" x14ac:dyDescent="0.35">
      <c r="B19" t="s">
        <v>9</v>
      </c>
      <c r="C19" s="1">
        <v>1409</v>
      </c>
      <c r="D19">
        <f t="shared" si="3"/>
        <v>2306.6666666666665</v>
      </c>
      <c r="E19">
        <f t="shared" si="4"/>
        <v>805805.44444444415</v>
      </c>
      <c r="F19" s="2">
        <f t="shared" si="5"/>
        <v>0.63709486633546242</v>
      </c>
      <c r="H19">
        <f t="shared" si="0"/>
        <v>3601.5</v>
      </c>
      <c r="I19">
        <f t="shared" si="1"/>
        <v>4807056.25</v>
      </c>
      <c r="J19" s="2">
        <f t="shared" si="2"/>
        <v>1.5560681334279631</v>
      </c>
    </row>
    <row r="20" spans="2:10" x14ac:dyDescent="0.35">
      <c r="B20" t="s">
        <v>7</v>
      </c>
      <c r="C20" s="1">
        <v>7713</v>
      </c>
      <c r="D20">
        <f t="shared" si="3"/>
        <v>984.66666666666663</v>
      </c>
      <c r="E20">
        <f t="shared" si="4"/>
        <v>45270469.44444444</v>
      </c>
      <c r="F20" s="2">
        <f t="shared" si="5"/>
        <v>-0.87233674748260503</v>
      </c>
      <c r="H20">
        <f t="shared" si="0"/>
        <v>1724.5</v>
      </c>
      <c r="I20">
        <f t="shared" si="1"/>
        <v>35862132.25</v>
      </c>
      <c r="J20" s="2">
        <f t="shared" si="2"/>
        <v>-0.77641643977699992</v>
      </c>
    </row>
    <row r="21" spans="2:10" x14ac:dyDescent="0.35">
      <c r="B21" t="s">
        <v>5</v>
      </c>
      <c r="C21" s="1">
        <v>1331</v>
      </c>
      <c r="D21">
        <f t="shared" si="3"/>
        <v>3345.3333333333335</v>
      </c>
      <c r="E21">
        <f t="shared" si="4"/>
        <v>4057538.7777777785</v>
      </c>
      <c r="F21" s="2">
        <f t="shared" si="5"/>
        <v>1.5133984472827449</v>
      </c>
      <c r="H21">
        <f t="shared" si="0"/>
        <v>8170</v>
      </c>
      <c r="I21">
        <f t="shared" si="1"/>
        <v>46771921</v>
      </c>
      <c r="J21" s="2">
        <f t="shared" si="2"/>
        <v>5.1382419233658903</v>
      </c>
    </row>
    <row r="22" spans="2:10" x14ac:dyDescent="0.35">
      <c r="B22" t="s">
        <v>10</v>
      </c>
      <c r="C22" s="1">
        <v>1489</v>
      </c>
      <c r="D22">
        <f t="shared" si="3"/>
        <v>3484.3333333333335</v>
      </c>
      <c r="E22">
        <f t="shared" si="4"/>
        <v>3981355.1111111119</v>
      </c>
      <c r="F22" s="2">
        <f t="shared" si="5"/>
        <v>1.340049250055966</v>
      </c>
      <c r="H22">
        <f t="shared" si="0"/>
        <v>2035.5</v>
      </c>
      <c r="I22">
        <f t="shared" si="1"/>
        <v>298662.25</v>
      </c>
      <c r="J22" s="2">
        <f t="shared" si="2"/>
        <v>0.36702484889187376</v>
      </c>
    </row>
    <row r="23" spans="2:10" x14ac:dyDescent="0.35">
      <c r="B23" t="s">
        <v>2</v>
      </c>
      <c r="C23" s="1">
        <v>331</v>
      </c>
      <c r="D23">
        <f t="shared" si="3"/>
        <v>3511</v>
      </c>
      <c r="E23">
        <f t="shared" si="4"/>
        <v>10112400</v>
      </c>
      <c r="F23" s="2">
        <f t="shared" si="5"/>
        <v>9.6072507552870086</v>
      </c>
      <c r="H23">
        <f t="shared" si="0"/>
        <v>5345.5</v>
      </c>
      <c r="I23">
        <f t="shared" si="1"/>
        <v>25145210.25</v>
      </c>
      <c r="J23" s="2">
        <f t="shared" si="2"/>
        <v>15.149546827794563</v>
      </c>
    </row>
    <row r="24" spans="2:10" x14ac:dyDescent="0.35">
      <c r="B24" t="s">
        <v>6</v>
      </c>
      <c r="C24" s="1">
        <v>2191</v>
      </c>
      <c r="D24">
        <f t="shared" si="3"/>
        <v>1050.3333333333333</v>
      </c>
      <c r="E24">
        <f t="shared" si="4"/>
        <v>1301120.4444444447</v>
      </c>
      <c r="F24" s="2">
        <f t="shared" si="5"/>
        <v>-0.52061463563061006</v>
      </c>
      <c r="H24">
        <f t="shared" si="0"/>
        <v>996.5</v>
      </c>
      <c r="I24">
        <f t="shared" si="1"/>
        <v>1426830.25</v>
      </c>
      <c r="J24" s="2">
        <f t="shared" si="2"/>
        <v>-0.54518484710178006</v>
      </c>
    </row>
    <row r="25" spans="2:10" x14ac:dyDescent="0.35">
      <c r="B25" t="s">
        <v>9</v>
      </c>
      <c r="C25" s="1">
        <v>1726</v>
      </c>
      <c r="D25">
        <f t="shared" si="3"/>
        <v>1337</v>
      </c>
      <c r="E25">
        <f t="shared" si="4"/>
        <v>151321</v>
      </c>
      <c r="F25" s="2">
        <f t="shared" si="5"/>
        <v>-0.22537659327925841</v>
      </c>
      <c r="H25">
        <f t="shared" si="0"/>
        <v>2935.5</v>
      </c>
      <c r="I25">
        <f t="shared" si="1"/>
        <v>1462890.25</v>
      </c>
      <c r="J25" s="2">
        <f t="shared" si="2"/>
        <v>0.70075318655851682</v>
      </c>
    </row>
    <row r="26" spans="2:10" x14ac:dyDescent="0.35">
      <c r="B26" t="s">
        <v>4</v>
      </c>
      <c r="C26" s="1">
        <v>1188</v>
      </c>
      <c r="D26">
        <f t="shared" si="3"/>
        <v>1416</v>
      </c>
      <c r="E26">
        <f t="shared" si="4"/>
        <v>51984</v>
      </c>
      <c r="F26" s="2">
        <f t="shared" si="5"/>
        <v>0.19191919191919191</v>
      </c>
      <c r="H26">
        <f t="shared" si="0"/>
        <v>1891.5</v>
      </c>
      <c r="I26">
        <f t="shared" si="1"/>
        <v>494912.25</v>
      </c>
      <c r="J26" s="2">
        <f t="shared" si="2"/>
        <v>0.59217171717171713</v>
      </c>
    </row>
    <row r="27" spans="2:10" x14ac:dyDescent="0.35">
      <c r="B27" t="s">
        <v>5</v>
      </c>
      <c r="C27" s="1">
        <v>908</v>
      </c>
      <c r="D27">
        <f t="shared" si="3"/>
        <v>1701.6666666666667</v>
      </c>
      <c r="E27">
        <f t="shared" si="4"/>
        <v>629906.77777777787</v>
      </c>
      <c r="F27" s="2">
        <f t="shared" si="5"/>
        <v>0.87408223201174751</v>
      </c>
      <c r="H27">
        <f t="shared" si="0"/>
        <v>2283.5</v>
      </c>
      <c r="I27">
        <f t="shared" si="1"/>
        <v>1892000.25</v>
      </c>
      <c r="J27" s="2">
        <f t="shared" si="2"/>
        <v>1.5148678414096917</v>
      </c>
    </row>
    <row r="28" spans="2:10" x14ac:dyDescent="0.35">
      <c r="B28" t="s">
        <v>3</v>
      </c>
      <c r="C28" s="1">
        <v>1587</v>
      </c>
      <c r="D28">
        <f t="shared" si="3"/>
        <v>1274</v>
      </c>
      <c r="E28">
        <f t="shared" si="4"/>
        <v>97969</v>
      </c>
      <c r="F28" s="2">
        <f t="shared" si="5"/>
        <v>-0.19722747321991177</v>
      </c>
      <c r="H28">
        <f t="shared" si="0"/>
        <v>1771</v>
      </c>
      <c r="I28">
        <f t="shared" si="1"/>
        <v>33856</v>
      </c>
      <c r="J28" s="2">
        <f t="shared" si="2"/>
        <v>0.11594202898550725</v>
      </c>
    </row>
    <row r="29" spans="2:10" x14ac:dyDescent="0.35">
      <c r="B29" t="s">
        <v>7</v>
      </c>
      <c r="C29" s="1">
        <v>2630</v>
      </c>
      <c r="D29">
        <f t="shared" si="3"/>
        <v>1227.6666666666667</v>
      </c>
      <c r="E29">
        <f t="shared" si="4"/>
        <v>1966538.7777777775</v>
      </c>
      <c r="F29" s="2">
        <f t="shared" si="5"/>
        <v>-0.53320659062103926</v>
      </c>
      <c r="H29">
        <f t="shared" si="0"/>
        <v>2181</v>
      </c>
      <c r="I29">
        <f t="shared" si="1"/>
        <v>201601</v>
      </c>
      <c r="J29" s="2">
        <f t="shared" si="2"/>
        <v>-0.17072243346007604</v>
      </c>
    </row>
    <row r="30" spans="2:10" x14ac:dyDescent="0.35">
      <c r="B30" t="s">
        <v>8</v>
      </c>
      <c r="C30" s="1">
        <v>6634</v>
      </c>
      <c r="D30">
        <f t="shared" si="3"/>
        <v>1708.3333333333333</v>
      </c>
      <c r="E30">
        <f t="shared" si="4"/>
        <v>24262192.111111116</v>
      </c>
      <c r="F30" s="2">
        <f t="shared" si="5"/>
        <v>-0.74248819214149331</v>
      </c>
      <c r="H30">
        <f t="shared" si="0"/>
        <v>3084</v>
      </c>
      <c r="I30">
        <f t="shared" si="1"/>
        <v>12602500</v>
      </c>
      <c r="J30" s="2">
        <f t="shared" si="2"/>
        <v>-0.53512209828157975</v>
      </c>
    </row>
    <row r="31" spans="2:10" x14ac:dyDescent="0.35">
      <c r="B31" t="s">
        <v>6</v>
      </c>
      <c r="C31" s="1">
        <v>222</v>
      </c>
      <c r="D31">
        <f t="shared" si="3"/>
        <v>3617</v>
      </c>
      <c r="E31">
        <f t="shared" si="4"/>
        <v>11526025</v>
      </c>
      <c r="F31" s="2">
        <f t="shared" si="5"/>
        <v>15.292792792792794</v>
      </c>
      <c r="H31">
        <f t="shared" si="0"/>
        <v>7427.5</v>
      </c>
      <c r="I31">
        <f t="shared" si="1"/>
        <v>51919230.25</v>
      </c>
      <c r="J31" s="2">
        <f t="shared" si="2"/>
        <v>32.457207207207205</v>
      </c>
    </row>
    <row r="32" spans="2:10" x14ac:dyDescent="0.35">
      <c r="B32" t="s">
        <v>4</v>
      </c>
      <c r="C32" s="1">
        <v>1134</v>
      </c>
      <c r="D32">
        <f t="shared" si="3"/>
        <v>3162</v>
      </c>
      <c r="E32">
        <f t="shared" si="4"/>
        <v>4112784</v>
      </c>
      <c r="F32" s="2">
        <f t="shared" si="5"/>
        <v>1.7883597883597884</v>
      </c>
      <c r="H32">
        <f t="shared" si="0"/>
        <v>1537</v>
      </c>
      <c r="I32">
        <f t="shared" si="1"/>
        <v>162409</v>
      </c>
      <c r="J32" s="2">
        <f t="shared" si="2"/>
        <v>0.35537918871252205</v>
      </c>
    </row>
    <row r="33" spans="2:10" x14ac:dyDescent="0.35">
      <c r="B33" t="s">
        <v>3</v>
      </c>
      <c r="C33" s="1">
        <v>412</v>
      </c>
      <c r="D33">
        <f t="shared" si="3"/>
        <v>2663.3333333333335</v>
      </c>
      <c r="E33">
        <f t="shared" si="4"/>
        <v>5068501.7777777789</v>
      </c>
      <c r="F33" s="2">
        <f t="shared" si="5"/>
        <v>5.4644012944983826</v>
      </c>
      <c r="H33">
        <f t="shared" si="0"/>
        <v>4451</v>
      </c>
      <c r="I33">
        <f t="shared" si="1"/>
        <v>16313521</v>
      </c>
      <c r="J33" s="2">
        <f t="shared" si="2"/>
        <v>9.8033980582524265</v>
      </c>
    </row>
    <row r="34" spans="2:10" x14ac:dyDescent="0.35">
      <c r="B34" t="s">
        <v>2</v>
      </c>
      <c r="C34" s="1">
        <v>3695</v>
      </c>
      <c r="D34">
        <f t="shared" si="3"/>
        <v>589.33333333333337</v>
      </c>
      <c r="E34">
        <f t="shared" si="4"/>
        <v>9645165.444444444</v>
      </c>
      <c r="F34" s="2">
        <f t="shared" si="5"/>
        <v>-0.8405051871898962</v>
      </c>
      <c r="H34">
        <f t="shared" si="0"/>
        <v>523</v>
      </c>
      <c r="I34">
        <f t="shared" si="1"/>
        <v>10061584</v>
      </c>
      <c r="J34" s="2">
        <f t="shared" si="2"/>
        <v>-0.85845737483085249</v>
      </c>
    </row>
    <row r="35" spans="2:10" x14ac:dyDescent="0.35">
      <c r="B35" t="s">
        <v>9</v>
      </c>
      <c r="C35" s="1">
        <v>534</v>
      </c>
      <c r="D35">
        <f t="shared" si="3"/>
        <v>1747</v>
      </c>
      <c r="E35">
        <f t="shared" si="4"/>
        <v>1471369</v>
      </c>
      <c r="F35" s="2">
        <f t="shared" si="5"/>
        <v>2.2715355805243447</v>
      </c>
      <c r="H35">
        <f t="shared" si="0"/>
        <v>4262</v>
      </c>
      <c r="I35">
        <f t="shared" si="1"/>
        <v>13897984</v>
      </c>
      <c r="J35" s="2">
        <f t="shared" si="2"/>
        <v>6.9812734082397006</v>
      </c>
    </row>
    <row r="36" spans="2:10" x14ac:dyDescent="0.35">
      <c r="B36" t="s">
        <v>7</v>
      </c>
      <c r="C36" s="1">
        <v>5690</v>
      </c>
      <c r="D36">
        <f t="shared" si="3"/>
        <v>1547</v>
      </c>
      <c r="E36">
        <f t="shared" si="4"/>
        <v>17164449</v>
      </c>
      <c r="F36" s="2">
        <f t="shared" si="5"/>
        <v>-0.72811950790861157</v>
      </c>
      <c r="H36">
        <f t="shared" si="0"/>
        <v>740</v>
      </c>
      <c r="I36">
        <f t="shared" si="1"/>
        <v>24502500</v>
      </c>
      <c r="J36" s="2">
        <f t="shared" si="2"/>
        <v>-0.8699472759226714</v>
      </c>
    </row>
    <row r="37" spans="2:10" x14ac:dyDescent="0.35">
      <c r="B37" t="s">
        <v>5</v>
      </c>
      <c r="C37" s="1">
        <v>759</v>
      </c>
      <c r="D37">
        <f t="shared" si="3"/>
        <v>3306.3333333333335</v>
      </c>
      <c r="E37">
        <f t="shared" si="4"/>
        <v>6488907.1111111119</v>
      </c>
      <c r="F37" s="2">
        <f t="shared" si="5"/>
        <v>3.3561703996486609</v>
      </c>
      <c r="H37">
        <f t="shared" ref="H37:H68" si="6">C34+C36-C35+C35-C34/2</f>
        <v>7537.5</v>
      </c>
      <c r="I37">
        <f t="shared" ref="I37:I68" si="7">(H37-C37)^2</f>
        <v>45948062.25</v>
      </c>
      <c r="J37" s="2">
        <f t="shared" ref="J37:J68" si="8">(H37-C37)/C37</f>
        <v>8.9308300395256914</v>
      </c>
    </row>
    <row r="38" spans="2:10" x14ac:dyDescent="0.35">
      <c r="B38" t="s">
        <v>10</v>
      </c>
      <c r="C38" s="1">
        <v>677</v>
      </c>
      <c r="D38">
        <f t="shared" si="3"/>
        <v>2327.6666666666665</v>
      </c>
      <c r="E38">
        <f t="shared" si="4"/>
        <v>2724700.444444444</v>
      </c>
      <c r="F38" s="2">
        <f t="shared" si="5"/>
        <v>2.4382077794190051</v>
      </c>
      <c r="H38">
        <f t="shared" si="6"/>
        <v>1026</v>
      </c>
      <c r="I38">
        <f t="shared" si="7"/>
        <v>121801</v>
      </c>
      <c r="J38" s="2">
        <f t="shared" si="8"/>
        <v>0.51550960118168387</v>
      </c>
    </row>
    <row r="39" spans="2:10" x14ac:dyDescent="0.35">
      <c r="B39" t="s">
        <v>4</v>
      </c>
      <c r="C39" s="1">
        <v>972</v>
      </c>
      <c r="D39">
        <f t="shared" si="3"/>
        <v>2375.3333333333335</v>
      </c>
      <c r="E39">
        <f t="shared" si="4"/>
        <v>1969344.444444445</v>
      </c>
      <c r="F39" s="2">
        <f t="shared" si="5"/>
        <v>1.4437585733882032</v>
      </c>
      <c r="H39">
        <f t="shared" si="6"/>
        <v>3522</v>
      </c>
      <c r="I39">
        <f t="shared" si="7"/>
        <v>6502500</v>
      </c>
      <c r="J39" s="2">
        <f t="shared" si="8"/>
        <v>2.6234567901234569</v>
      </c>
    </row>
    <row r="40" spans="2:10" x14ac:dyDescent="0.35">
      <c r="B40" t="s">
        <v>8</v>
      </c>
      <c r="C40" s="1">
        <v>5066</v>
      </c>
      <c r="D40">
        <f t="shared" si="3"/>
        <v>802.66666666666663</v>
      </c>
      <c r="E40">
        <f t="shared" si="4"/>
        <v>18176011.111111108</v>
      </c>
      <c r="F40" s="2">
        <f t="shared" si="5"/>
        <v>-0.84155809974996709</v>
      </c>
      <c r="H40">
        <f t="shared" si="6"/>
        <v>1351.5</v>
      </c>
      <c r="I40">
        <f t="shared" si="7"/>
        <v>13797510.25</v>
      </c>
      <c r="J40" s="2">
        <f t="shared" si="8"/>
        <v>-0.73322147651006708</v>
      </c>
    </row>
    <row r="41" spans="2:10" x14ac:dyDescent="0.35">
      <c r="B41" t="s">
        <v>6</v>
      </c>
      <c r="C41" s="1">
        <v>198</v>
      </c>
      <c r="D41">
        <f t="shared" si="3"/>
        <v>2238.3333333333335</v>
      </c>
      <c r="E41">
        <f t="shared" si="4"/>
        <v>4162960.1111111119</v>
      </c>
      <c r="F41" s="2">
        <f t="shared" si="5"/>
        <v>10.304713804713806</v>
      </c>
      <c r="H41">
        <f t="shared" si="6"/>
        <v>5404.5</v>
      </c>
      <c r="I41">
        <f t="shared" si="7"/>
        <v>27107642.25</v>
      </c>
      <c r="J41" s="2">
        <f t="shared" si="8"/>
        <v>26.295454545454547</v>
      </c>
    </row>
    <row r="42" spans="2:10" x14ac:dyDescent="0.35">
      <c r="B42" t="s">
        <v>2</v>
      </c>
      <c r="C42" s="1">
        <v>1360</v>
      </c>
      <c r="D42">
        <f t="shared" si="3"/>
        <v>2078.6666666666665</v>
      </c>
      <c r="E42">
        <f t="shared" si="4"/>
        <v>516481.77777777758</v>
      </c>
      <c r="F42" s="2">
        <f t="shared" si="5"/>
        <v>0.52843137254901951</v>
      </c>
      <c r="H42">
        <f t="shared" si="6"/>
        <v>684</v>
      </c>
      <c r="I42">
        <f t="shared" si="7"/>
        <v>456976</v>
      </c>
      <c r="J42" s="2">
        <f t="shared" si="8"/>
        <v>-0.49705882352941178</v>
      </c>
    </row>
    <row r="43" spans="2:10" x14ac:dyDescent="0.35">
      <c r="B43" t="s">
        <v>3</v>
      </c>
      <c r="C43" s="1">
        <v>299</v>
      </c>
      <c r="D43">
        <f t="shared" si="3"/>
        <v>2208</v>
      </c>
      <c r="E43">
        <f t="shared" si="4"/>
        <v>3644281</v>
      </c>
      <c r="F43" s="2">
        <f t="shared" si="5"/>
        <v>6.384615384615385</v>
      </c>
      <c r="H43">
        <f t="shared" si="6"/>
        <v>3893</v>
      </c>
      <c r="I43">
        <f t="shared" si="7"/>
        <v>12916836</v>
      </c>
      <c r="J43" s="2">
        <f t="shared" si="8"/>
        <v>12.020066889632107</v>
      </c>
    </row>
    <row r="44" spans="2:10" x14ac:dyDescent="0.35">
      <c r="B44" t="s">
        <v>7</v>
      </c>
      <c r="C44" s="1">
        <v>5512</v>
      </c>
      <c r="D44">
        <f t="shared" si="3"/>
        <v>619</v>
      </c>
      <c r="E44">
        <f t="shared" si="4"/>
        <v>23941449</v>
      </c>
      <c r="F44" s="2">
        <f t="shared" si="5"/>
        <v>-0.88769956458635702</v>
      </c>
      <c r="H44">
        <f t="shared" si="6"/>
        <v>398</v>
      </c>
      <c r="I44">
        <f t="shared" si="7"/>
        <v>26152996</v>
      </c>
      <c r="J44" s="2">
        <f t="shared" si="8"/>
        <v>-0.92779390420899854</v>
      </c>
    </row>
    <row r="45" spans="2:10" x14ac:dyDescent="0.35">
      <c r="B45" t="s">
        <v>9</v>
      </c>
      <c r="C45" s="1">
        <v>937</v>
      </c>
      <c r="D45">
        <f t="shared" si="3"/>
        <v>2390.3333333333335</v>
      </c>
      <c r="E45">
        <f t="shared" si="4"/>
        <v>2112177.7777777785</v>
      </c>
      <c r="F45" s="2">
        <f t="shared" si="5"/>
        <v>1.5510494485948063</v>
      </c>
      <c r="H45">
        <f t="shared" si="6"/>
        <v>6192</v>
      </c>
      <c r="I45">
        <f t="shared" si="7"/>
        <v>27615025</v>
      </c>
      <c r="J45" s="2">
        <f t="shared" si="8"/>
        <v>5.6083244397011738</v>
      </c>
    </row>
    <row r="46" spans="2:10" x14ac:dyDescent="0.35">
      <c r="B46" t="s">
        <v>5</v>
      </c>
      <c r="C46" s="1">
        <v>6133</v>
      </c>
      <c r="D46">
        <f t="shared" si="3"/>
        <v>2249.3333333333335</v>
      </c>
      <c r="E46">
        <f t="shared" si="4"/>
        <v>15082866.777777776</v>
      </c>
      <c r="F46" s="2">
        <f t="shared" si="5"/>
        <v>-0.63324093700744599</v>
      </c>
      <c r="H46">
        <f t="shared" si="6"/>
        <v>1086.5</v>
      </c>
      <c r="I46">
        <f t="shared" si="7"/>
        <v>25467162.25</v>
      </c>
      <c r="J46" s="2">
        <f t="shared" si="8"/>
        <v>-0.82284363280613082</v>
      </c>
    </row>
    <row r="47" spans="2:10" x14ac:dyDescent="0.35">
      <c r="B47" t="s">
        <v>4</v>
      </c>
      <c r="C47" s="1">
        <v>715</v>
      </c>
      <c r="D47">
        <f t="shared" si="3"/>
        <v>4194</v>
      </c>
      <c r="E47">
        <f t="shared" si="4"/>
        <v>12103441</v>
      </c>
      <c r="F47" s="2">
        <f t="shared" si="5"/>
        <v>4.8657342657342655</v>
      </c>
      <c r="H47">
        <f t="shared" si="6"/>
        <v>8889</v>
      </c>
      <c r="I47">
        <f t="shared" si="7"/>
        <v>66814276</v>
      </c>
      <c r="J47" s="2">
        <f t="shared" si="8"/>
        <v>11.432167832167833</v>
      </c>
    </row>
    <row r="48" spans="2:10" x14ac:dyDescent="0.35">
      <c r="B48" t="s">
        <v>8</v>
      </c>
      <c r="C48" s="1">
        <v>902</v>
      </c>
      <c r="D48">
        <f t="shared" si="3"/>
        <v>2595</v>
      </c>
      <c r="E48">
        <f t="shared" si="4"/>
        <v>2866249</v>
      </c>
      <c r="F48" s="2">
        <f t="shared" si="5"/>
        <v>1.876940133037694</v>
      </c>
      <c r="H48">
        <f t="shared" si="6"/>
        <v>1183.5</v>
      </c>
      <c r="I48">
        <f t="shared" si="7"/>
        <v>79242.25</v>
      </c>
      <c r="J48" s="2">
        <f t="shared" si="8"/>
        <v>0.31208425720620842</v>
      </c>
    </row>
    <row r="49" spans="2:10" x14ac:dyDescent="0.35">
      <c r="B49" t="s">
        <v>3</v>
      </c>
      <c r="C49" s="1">
        <v>1250</v>
      </c>
      <c r="D49">
        <f t="shared" si="3"/>
        <v>2583.3333333333335</v>
      </c>
      <c r="E49">
        <f t="shared" si="4"/>
        <v>1777777.7777777782</v>
      </c>
      <c r="F49" s="2">
        <f t="shared" si="5"/>
        <v>1.0666666666666669</v>
      </c>
      <c r="H49">
        <f t="shared" si="6"/>
        <v>3968.5</v>
      </c>
      <c r="I49">
        <f t="shared" si="7"/>
        <v>7390242.25</v>
      </c>
      <c r="J49" s="2">
        <f t="shared" si="8"/>
        <v>2.1747999999999998</v>
      </c>
    </row>
    <row r="50" spans="2:10" x14ac:dyDescent="0.35">
      <c r="B50" t="s">
        <v>2</v>
      </c>
      <c r="C50" s="1">
        <v>3488</v>
      </c>
      <c r="D50">
        <f t="shared" si="3"/>
        <v>955.66666666666663</v>
      </c>
      <c r="E50">
        <f t="shared" si="4"/>
        <v>6412712.1111111119</v>
      </c>
      <c r="F50" s="2">
        <f t="shared" si="5"/>
        <v>-0.72601299694189603</v>
      </c>
      <c r="H50">
        <f t="shared" si="6"/>
        <v>1607.5</v>
      </c>
      <c r="I50">
        <f t="shared" si="7"/>
        <v>3536280.25</v>
      </c>
      <c r="J50" s="2">
        <f t="shared" si="8"/>
        <v>-0.53913417431192656</v>
      </c>
    </row>
    <row r="51" spans="2:10" x14ac:dyDescent="0.35">
      <c r="B51" t="s">
        <v>7</v>
      </c>
      <c r="C51" s="1">
        <v>966</v>
      </c>
      <c r="D51">
        <f t="shared" si="3"/>
        <v>1880</v>
      </c>
      <c r="E51">
        <f t="shared" si="4"/>
        <v>835396</v>
      </c>
      <c r="F51" s="2">
        <f t="shared" si="5"/>
        <v>0.94616977225672882</v>
      </c>
      <c r="H51">
        <f t="shared" si="6"/>
        <v>3939</v>
      </c>
      <c r="I51">
        <f t="shared" si="7"/>
        <v>8838729</v>
      </c>
      <c r="J51" s="2">
        <f t="shared" si="8"/>
        <v>3.0776397515527951</v>
      </c>
    </row>
    <row r="52" spans="2:10" x14ac:dyDescent="0.35">
      <c r="B52" t="s">
        <v>9</v>
      </c>
      <c r="C52" s="1">
        <v>2593</v>
      </c>
      <c r="D52">
        <f t="shared" si="3"/>
        <v>1901.3333333333333</v>
      </c>
      <c r="E52">
        <f t="shared" si="4"/>
        <v>478402.77777777787</v>
      </c>
      <c r="F52" s="2">
        <f t="shared" si="5"/>
        <v>-0.2667437974032652</v>
      </c>
      <c r="H52">
        <f t="shared" si="6"/>
        <v>1591</v>
      </c>
      <c r="I52">
        <f t="shared" si="7"/>
        <v>1004004</v>
      </c>
      <c r="J52" s="2">
        <f t="shared" si="8"/>
        <v>-0.3864249903586579</v>
      </c>
    </row>
    <row r="53" spans="2:10" x14ac:dyDescent="0.35">
      <c r="B53" t="s">
        <v>4</v>
      </c>
      <c r="C53" s="1">
        <v>306</v>
      </c>
      <c r="D53">
        <f t="shared" si="3"/>
        <v>2349</v>
      </c>
      <c r="E53">
        <f t="shared" si="4"/>
        <v>4173849</v>
      </c>
      <c r="F53" s="2">
        <f t="shared" si="5"/>
        <v>6.6764705882352944</v>
      </c>
      <c r="H53">
        <f t="shared" si="6"/>
        <v>4337</v>
      </c>
      <c r="I53">
        <f t="shared" si="7"/>
        <v>16248961</v>
      </c>
      <c r="J53" s="2">
        <f t="shared" si="8"/>
        <v>13.173202614379084</v>
      </c>
    </row>
    <row r="54" spans="2:10" x14ac:dyDescent="0.35">
      <c r="B54" t="s">
        <v>8</v>
      </c>
      <c r="C54" s="1">
        <v>2896</v>
      </c>
      <c r="D54">
        <f t="shared" si="3"/>
        <v>1288.3333333333333</v>
      </c>
      <c r="E54">
        <f t="shared" si="4"/>
        <v>2584592.1111111115</v>
      </c>
      <c r="F54" s="2">
        <f t="shared" si="5"/>
        <v>-0.55513351749539597</v>
      </c>
      <c r="H54">
        <f t="shared" si="6"/>
        <v>789</v>
      </c>
      <c r="I54">
        <f t="shared" si="7"/>
        <v>4439449</v>
      </c>
      <c r="J54" s="2">
        <f t="shared" si="8"/>
        <v>-0.72755524861878451</v>
      </c>
    </row>
    <row r="55" spans="2:10" x14ac:dyDescent="0.35">
      <c r="B55" t="s">
        <v>6</v>
      </c>
      <c r="C55" s="1">
        <v>174</v>
      </c>
      <c r="D55">
        <f t="shared" si="3"/>
        <v>1931.6666666666667</v>
      </c>
      <c r="E55">
        <f t="shared" si="4"/>
        <v>3089392.1111111115</v>
      </c>
      <c r="F55" s="2">
        <f t="shared" si="5"/>
        <v>10.101532567049809</v>
      </c>
      <c r="H55">
        <f t="shared" si="6"/>
        <v>4192.5</v>
      </c>
      <c r="I55">
        <f t="shared" si="7"/>
        <v>16148342.25</v>
      </c>
      <c r="J55" s="2">
        <f t="shared" si="8"/>
        <v>23.094827586206897</v>
      </c>
    </row>
    <row r="56" spans="2:10" x14ac:dyDescent="0.35">
      <c r="B56" t="s">
        <v>5</v>
      </c>
      <c r="C56" s="1">
        <v>5708</v>
      </c>
      <c r="D56">
        <f t="shared" si="3"/>
        <v>1125.3333333333333</v>
      </c>
      <c r="E56">
        <f t="shared" si="4"/>
        <v>21000833.77777778</v>
      </c>
      <c r="F56" s="2">
        <f t="shared" si="5"/>
        <v>-0.80284980144825979</v>
      </c>
      <c r="H56">
        <f t="shared" si="6"/>
        <v>327</v>
      </c>
      <c r="I56">
        <f t="shared" si="7"/>
        <v>28955161</v>
      </c>
      <c r="J56" s="2">
        <f t="shared" si="8"/>
        <v>-0.94271198318149962</v>
      </c>
    </row>
    <row r="57" spans="2:10" x14ac:dyDescent="0.35">
      <c r="B57" t="s">
        <v>3</v>
      </c>
      <c r="C57" s="1">
        <v>530</v>
      </c>
      <c r="D57">
        <f t="shared" si="3"/>
        <v>2926</v>
      </c>
      <c r="E57">
        <f t="shared" si="4"/>
        <v>5740816</v>
      </c>
      <c r="F57" s="2">
        <f t="shared" si="5"/>
        <v>4.5207547169811324</v>
      </c>
      <c r="H57">
        <f t="shared" si="6"/>
        <v>7156</v>
      </c>
      <c r="I57">
        <f t="shared" si="7"/>
        <v>43903876</v>
      </c>
      <c r="J57" s="2">
        <f t="shared" si="8"/>
        <v>12.501886792452829</v>
      </c>
    </row>
    <row r="58" spans="2:10" x14ac:dyDescent="0.35">
      <c r="B58" t="s">
        <v>10</v>
      </c>
      <c r="C58" s="1">
        <v>825</v>
      </c>
      <c r="D58">
        <f t="shared" si="3"/>
        <v>2137.3333333333335</v>
      </c>
      <c r="E58">
        <f t="shared" si="4"/>
        <v>1722218.7777777782</v>
      </c>
      <c r="F58" s="2">
        <f t="shared" si="5"/>
        <v>1.590707070707071</v>
      </c>
      <c r="H58">
        <f t="shared" si="6"/>
        <v>617</v>
      </c>
      <c r="I58">
        <f t="shared" si="7"/>
        <v>43264</v>
      </c>
      <c r="J58" s="2">
        <f t="shared" si="8"/>
        <v>-0.25212121212121213</v>
      </c>
    </row>
    <row r="59" spans="2:10" x14ac:dyDescent="0.35">
      <c r="B59" t="s">
        <v>4</v>
      </c>
      <c r="C59" s="1">
        <v>1178</v>
      </c>
      <c r="D59">
        <f t="shared" si="3"/>
        <v>2354.3333333333335</v>
      </c>
      <c r="E59">
        <f t="shared" si="4"/>
        <v>1383760.1111111115</v>
      </c>
      <c r="F59" s="2">
        <f t="shared" si="5"/>
        <v>0.99858517260894186</v>
      </c>
      <c r="H59">
        <f t="shared" si="6"/>
        <v>3679</v>
      </c>
      <c r="I59">
        <f t="shared" si="7"/>
        <v>6255001</v>
      </c>
      <c r="J59" s="2">
        <f t="shared" si="8"/>
        <v>2.1230899830220715</v>
      </c>
    </row>
    <row r="60" spans="2:10" x14ac:dyDescent="0.35">
      <c r="B60" t="s">
        <v>7</v>
      </c>
      <c r="C60" s="1">
        <v>3420</v>
      </c>
      <c r="D60">
        <f t="shared" si="3"/>
        <v>844.33333333333337</v>
      </c>
      <c r="E60">
        <f t="shared" si="4"/>
        <v>6634058.7777777771</v>
      </c>
      <c r="F60" s="2">
        <f t="shared" si="5"/>
        <v>-0.75311890838206619</v>
      </c>
      <c r="H60">
        <f t="shared" si="6"/>
        <v>1443</v>
      </c>
      <c r="I60">
        <f t="shared" si="7"/>
        <v>3908529</v>
      </c>
      <c r="J60" s="2">
        <f t="shared" si="8"/>
        <v>-0.57807017543859651</v>
      </c>
    </row>
    <row r="61" spans="2:10" x14ac:dyDescent="0.35">
      <c r="B61" t="s">
        <v>2</v>
      </c>
      <c r="C61" s="1">
        <v>801</v>
      </c>
      <c r="D61">
        <f t="shared" si="3"/>
        <v>1807.6666666666667</v>
      </c>
      <c r="E61">
        <f t="shared" si="4"/>
        <v>1013377.777777778</v>
      </c>
      <c r="F61" s="2">
        <f t="shared" si="5"/>
        <v>1.256762380357886</v>
      </c>
      <c r="H61">
        <f t="shared" si="6"/>
        <v>3832.5</v>
      </c>
      <c r="I61">
        <f t="shared" si="7"/>
        <v>9189992.25</v>
      </c>
      <c r="J61" s="2">
        <f t="shared" si="8"/>
        <v>3.7846441947565541</v>
      </c>
    </row>
    <row r="62" spans="2:10" x14ac:dyDescent="0.35">
      <c r="B62" t="s">
        <v>6</v>
      </c>
      <c r="C62" s="1">
        <v>799</v>
      </c>
      <c r="D62">
        <f t="shared" si="3"/>
        <v>1799.6666666666667</v>
      </c>
      <c r="E62">
        <f t="shared" si="4"/>
        <v>1001333.777777778</v>
      </c>
      <c r="F62" s="2">
        <f t="shared" si="5"/>
        <v>1.2523988318731749</v>
      </c>
      <c r="H62">
        <f t="shared" si="6"/>
        <v>1390</v>
      </c>
      <c r="I62">
        <f t="shared" si="7"/>
        <v>349281</v>
      </c>
      <c r="J62" s="2">
        <f t="shared" si="8"/>
        <v>0.73967459324155194</v>
      </c>
    </row>
    <row r="63" spans="2:10" x14ac:dyDescent="0.35">
      <c r="B63" t="s">
        <v>8</v>
      </c>
      <c r="C63" s="1">
        <v>287</v>
      </c>
      <c r="D63">
        <f t="shared" si="3"/>
        <v>1673.3333333333333</v>
      </c>
      <c r="E63">
        <f t="shared" si="4"/>
        <v>1921920.111111111</v>
      </c>
      <c r="F63" s="2">
        <f t="shared" si="5"/>
        <v>4.8304297328687573</v>
      </c>
      <c r="H63">
        <f t="shared" si="6"/>
        <v>2509</v>
      </c>
      <c r="I63">
        <f t="shared" si="7"/>
        <v>4937284</v>
      </c>
      <c r="J63" s="2">
        <f t="shared" si="8"/>
        <v>7.7421602787456445</v>
      </c>
    </row>
    <row r="64" spans="2:10" x14ac:dyDescent="0.35">
      <c r="B64" t="s">
        <v>10</v>
      </c>
      <c r="C64" s="1">
        <v>5595</v>
      </c>
      <c r="D64">
        <f t="shared" si="3"/>
        <v>629</v>
      </c>
      <c r="E64">
        <f t="shared" si="4"/>
        <v>24661156</v>
      </c>
      <c r="F64" s="2">
        <f t="shared" si="5"/>
        <v>-0.88757819481680067</v>
      </c>
      <c r="H64">
        <f t="shared" si="6"/>
        <v>687.5</v>
      </c>
      <c r="I64">
        <f t="shared" si="7"/>
        <v>24083556.25</v>
      </c>
      <c r="J64" s="2">
        <f t="shared" si="8"/>
        <v>-0.87712243074173368</v>
      </c>
    </row>
    <row r="65" spans="2:10" x14ac:dyDescent="0.35">
      <c r="B65" t="s">
        <v>5</v>
      </c>
      <c r="C65" s="1">
        <v>402</v>
      </c>
      <c r="D65">
        <f t="shared" si="3"/>
        <v>2227</v>
      </c>
      <c r="E65">
        <f t="shared" si="4"/>
        <v>3330625</v>
      </c>
      <c r="F65" s="2">
        <f t="shared" si="5"/>
        <v>4.5398009950248754</v>
      </c>
      <c r="H65">
        <f t="shared" si="6"/>
        <v>5994.5</v>
      </c>
      <c r="I65">
        <f t="shared" si="7"/>
        <v>31276056.25</v>
      </c>
      <c r="J65" s="2">
        <f t="shared" si="8"/>
        <v>13.911691542288557</v>
      </c>
    </row>
    <row r="66" spans="2:10" x14ac:dyDescent="0.35">
      <c r="B66" t="s">
        <v>3</v>
      </c>
      <c r="C66" s="1">
        <v>4869</v>
      </c>
      <c r="D66">
        <f t="shared" si="3"/>
        <v>2094.6666666666665</v>
      </c>
      <c r="E66">
        <f t="shared" si="4"/>
        <v>7696925.444444445</v>
      </c>
      <c r="F66" s="2">
        <f t="shared" si="5"/>
        <v>-0.5697953036215514</v>
      </c>
      <c r="H66">
        <f t="shared" si="6"/>
        <v>545.5</v>
      </c>
      <c r="I66">
        <f t="shared" si="7"/>
        <v>18692652.25</v>
      </c>
      <c r="J66" s="2">
        <f t="shared" si="8"/>
        <v>-0.88796467447114402</v>
      </c>
    </row>
    <row r="67" spans="2:10" x14ac:dyDescent="0.35">
      <c r="B67" t="s">
        <v>7</v>
      </c>
      <c r="C67" s="1">
        <v>1432</v>
      </c>
      <c r="D67">
        <f t="shared" si="3"/>
        <v>3622</v>
      </c>
      <c r="E67">
        <f t="shared" si="4"/>
        <v>4796100</v>
      </c>
      <c r="F67" s="2">
        <f t="shared" si="5"/>
        <v>1.5293296089385475</v>
      </c>
      <c r="H67">
        <f t="shared" si="6"/>
        <v>7666.5</v>
      </c>
      <c r="I67">
        <f t="shared" si="7"/>
        <v>38868990.25</v>
      </c>
      <c r="J67" s="2">
        <f t="shared" si="8"/>
        <v>4.3537011173184359</v>
      </c>
    </row>
    <row r="68" spans="2:10" x14ac:dyDescent="0.35">
      <c r="B68" t="s">
        <v>9</v>
      </c>
      <c r="C68" s="1">
        <v>399</v>
      </c>
      <c r="D68">
        <f t="shared" si="3"/>
        <v>2234.3333333333335</v>
      </c>
      <c r="E68">
        <f t="shared" si="4"/>
        <v>3368448.444444445</v>
      </c>
      <c r="F68" s="2">
        <f t="shared" si="5"/>
        <v>4.5998329156223896</v>
      </c>
      <c r="H68">
        <f t="shared" si="6"/>
        <v>1633</v>
      </c>
      <c r="I68">
        <f t="shared" si="7"/>
        <v>1522756</v>
      </c>
      <c r="J68" s="2">
        <f t="shared" si="8"/>
        <v>3.092731829573935</v>
      </c>
    </row>
    <row r="69" spans="2:10" x14ac:dyDescent="0.35">
      <c r="B69" t="s">
        <v>4</v>
      </c>
      <c r="C69" s="1">
        <v>2595</v>
      </c>
      <c r="D69">
        <f t="shared" si="3"/>
        <v>2233.3333333333335</v>
      </c>
      <c r="E69">
        <f t="shared" si="4"/>
        <v>130802.77777777766</v>
      </c>
      <c r="F69" s="2">
        <f t="shared" si="5"/>
        <v>-0.13937058445728961</v>
      </c>
      <c r="H69">
        <f t="shared" ref="H69:H100" si="9">C66+C68-C67+C67-C66/2</f>
        <v>2833.5</v>
      </c>
      <c r="I69">
        <f t="shared" ref="I69:I100" si="10">(H69-C69)^2</f>
        <v>56882.25</v>
      </c>
      <c r="J69" s="2">
        <f t="shared" ref="J69:J104" si="11">(H69-C69)/C69</f>
        <v>9.1907514450867048E-2</v>
      </c>
    </row>
    <row r="70" spans="2:10" x14ac:dyDescent="0.35">
      <c r="B70" t="s">
        <v>8</v>
      </c>
      <c r="C70" s="1">
        <v>6338</v>
      </c>
      <c r="D70">
        <f t="shared" ref="D70:D104" si="12">AVERAGE(C67:C69)</f>
        <v>1475.3333333333333</v>
      </c>
      <c r="E70">
        <f t="shared" ref="E70:E104" si="13">(D70-C70)^2</f>
        <v>23645527.111111116</v>
      </c>
      <c r="F70" s="2">
        <f t="shared" ref="F70:F104" si="14">(D70-C70)/C70</f>
        <v>-0.7672241506258547</v>
      </c>
      <c r="H70">
        <f t="shared" si="9"/>
        <v>3311</v>
      </c>
      <c r="I70">
        <f t="shared" si="10"/>
        <v>9162729</v>
      </c>
      <c r="J70" s="2">
        <f t="shared" si="11"/>
        <v>-0.47759545597980435</v>
      </c>
    </row>
    <row r="71" spans="2:10" x14ac:dyDescent="0.35">
      <c r="B71" t="s">
        <v>2</v>
      </c>
      <c r="C71" s="1">
        <v>219</v>
      </c>
      <c r="D71">
        <f t="shared" si="12"/>
        <v>3110.6666666666665</v>
      </c>
      <c r="E71">
        <f t="shared" si="13"/>
        <v>8361736.1111111101</v>
      </c>
      <c r="F71" s="2">
        <f t="shared" si="14"/>
        <v>13.203957382039572</v>
      </c>
      <c r="H71">
        <f t="shared" si="9"/>
        <v>6537.5</v>
      </c>
      <c r="I71">
        <f t="shared" si="10"/>
        <v>39923442.25</v>
      </c>
      <c r="J71" s="2">
        <f t="shared" si="11"/>
        <v>28.851598173515981</v>
      </c>
    </row>
    <row r="72" spans="2:10" x14ac:dyDescent="0.35">
      <c r="B72" t="s">
        <v>7</v>
      </c>
      <c r="C72" s="1">
        <v>694</v>
      </c>
      <c r="D72">
        <f t="shared" si="12"/>
        <v>3050.6666666666665</v>
      </c>
      <c r="E72">
        <f t="shared" si="13"/>
        <v>5553877.7777777771</v>
      </c>
      <c r="F72" s="2">
        <f t="shared" si="14"/>
        <v>3.3957732949087416</v>
      </c>
      <c r="H72">
        <f t="shared" si="9"/>
        <v>1516.5</v>
      </c>
      <c r="I72">
        <f t="shared" si="10"/>
        <v>676506.25</v>
      </c>
      <c r="J72" s="2">
        <f t="shared" si="11"/>
        <v>1.1851585014409223</v>
      </c>
    </row>
    <row r="73" spans="2:10" x14ac:dyDescent="0.35">
      <c r="B73" t="s">
        <v>5</v>
      </c>
      <c r="C73" s="1">
        <v>1053</v>
      </c>
      <c r="D73">
        <f t="shared" si="12"/>
        <v>2417</v>
      </c>
      <c r="E73">
        <f t="shared" si="13"/>
        <v>1860496</v>
      </c>
      <c r="F73" s="2">
        <f t="shared" si="14"/>
        <v>1.295346628679962</v>
      </c>
      <c r="H73">
        <f t="shared" si="9"/>
        <v>3863</v>
      </c>
      <c r="I73">
        <f t="shared" si="10"/>
        <v>7896100</v>
      </c>
      <c r="J73" s="2">
        <f t="shared" si="11"/>
        <v>2.6685660018993351</v>
      </c>
    </row>
    <row r="74" spans="2:10" x14ac:dyDescent="0.35">
      <c r="B74" t="s">
        <v>9</v>
      </c>
      <c r="C74" s="1">
        <v>2058</v>
      </c>
      <c r="D74">
        <f t="shared" si="12"/>
        <v>655.33333333333337</v>
      </c>
      <c r="E74">
        <f t="shared" si="13"/>
        <v>1967473.7777777773</v>
      </c>
      <c r="F74" s="2">
        <f t="shared" si="14"/>
        <v>-0.6815678652413345</v>
      </c>
      <c r="H74">
        <f t="shared" si="9"/>
        <v>1162.5</v>
      </c>
      <c r="I74">
        <f t="shared" si="10"/>
        <v>801920.25</v>
      </c>
      <c r="J74" s="2">
        <f t="shared" si="11"/>
        <v>-0.43513119533527694</v>
      </c>
    </row>
    <row r="75" spans="2:10" x14ac:dyDescent="0.35">
      <c r="B75" t="s">
        <v>3</v>
      </c>
      <c r="C75" s="1">
        <v>282</v>
      </c>
      <c r="D75">
        <f t="shared" si="12"/>
        <v>1268.3333333333333</v>
      </c>
      <c r="E75">
        <f t="shared" si="13"/>
        <v>972853.44444444426</v>
      </c>
      <c r="F75" s="2">
        <f t="shared" si="14"/>
        <v>3.4976359338061465</v>
      </c>
      <c r="H75">
        <f t="shared" si="9"/>
        <v>2405</v>
      </c>
      <c r="I75">
        <f t="shared" si="10"/>
        <v>4507129</v>
      </c>
      <c r="J75" s="2">
        <f t="shared" si="11"/>
        <v>7.5283687943262407</v>
      </c>
    </row>
    <row r="76" spans="2:10" x14ac:dyDescent="0.35">
      <c r="B76" t="s">
        <v>6</v>
      </c>
      <c r="C76" s="1">
        <v>3867</v>
      </c>
      <c r="D76">
        <f t="shared" si="12"/>
        <v>1131</v>
      </c>
      <c r="E76">
        <f t="shared" si="13"/>
        <v>7485696</v>
      </c>
      <c r="F76" s="2">
        <f t="shared" si="14"/>
        <v>-0.70752521334367724</v>
      </c>
      <c r="H76">
        <f t="shared" si="9"/>
        <v>808.5</v>
      </c>
      <c r="I76">
        <f t="shared" si="10"/>
        <v>9354422.25</v>
      </c>
      <c r="J76" s="2">
        <f t="shared" si="11"/>
        <v>-0.79092319627618313</v>
      </c>
    </row>
    <row r="77" spans="2:10" x14ac:dyDescent="0.35">
      <c r="B77" t="s">
        <v>4</v>
      </c>
      <c r="C77" s="1">
        <v>1342</v>
      </c>
      <c r="D77">
        <f t="shared" si="12"/>
        <v>2069</v>
      </c>
      <c r="E77">
        <f t="shared" si="13"/>
        <v>528529</v>
      </c>
      <c r="F77" s="2">
        <f t="shared" si="14"/>
        <v>0.54172876304023843</v>
      </c>
      <c r="H77">
        <f t="shared" si="9"/>
        <v>4896</v>
      </c>
      <c r="I77">
        <f t="shared" si="10"/>
        <v>12630916</v>
      </c>
      <c r="J77" s="2">
        <f t="shared" si="11"/>
        <v>2.6482861400894189</v>
      </c>
    </row>
    <row r="78" spans="2:10" x14ac:dyDescent="0.35">
      <c r="B78" t="s">
        <v>8</v>
      </c>
      <c r="C78" s="1">
        <v>413</v>
      </c>
      <c r="D78">
        <f t="shared" si="12"/>
        <v>1830.3333333333333</v>
      </c>
      <c r="E78">
        <f t="shared" si="13"/>
        <v>2008833.7777777775</v>
      </c>
      <c r="F78" s="2">
        <f t="shared" si="14"/>
        <v>3.4317998385794994</v>
      </c>
      <c r="H78">
        <f t="shared" si="9"/>
        <v>1483</v>
      </c>
      <c r="I78">
        <f t="shared" si="10"/>
        <v>1144900</v>
      </c>
      <c r="J78" s="2">
        <f t="shared" si="11"/>
        <v>2.5907990314769975</v>
      </c>
    </row>
    <row r="79" spans="2:10" x14ac:dyDescent="0.35">
      <c r="B79" t="s">
        <v>2</v>
      </c>
      <c r="C79" s="1">
        <v>4441</v>
      </c>
      <c r="D79">
        <f t="shared" si="12"/>
        <v>1874</v>
      </c>
      <c r="E79">
        <f t="shared" si="13"/>
        <v>6589489</v>
      </c>
      <c r="F79" s="2">
        <f t="shared" si="14"/>
        <v>-0.57802296780004503</v>
      </c>
      <c r="H79">
        <f t="shared" si="9"/>
        <v>2346.5</v>
      </c>
      <c r="I79">
        <f t="shared" si="10"/>
        <v>4386930.25</v>
      </c>
      <c r="J79" s="2">
        <f t="shared" si="11"/>
        <v>-0.47162801170907453</v>
      </c>
    </row>
    <row r="80" spans="2:10" x14ac:dyDescent="0.35">
      <c r="B80" t="s">
        <v>10</v>
      </c>
      <c r="C80" s="1">
        <v>762</v>
      </c>
      <c r="D80">
        <f t="shared" si="12"/>
        <v>2065.3333333333335</v>
      </c>
      <c r="E80">
        <f t="shared" si="13"/>
        <v>1698677.7777777782</v>
      </c>
      <c r="F80" s="2">
        <f t="shared" si="14"/>
        <v>1.7104111986001751</v>
      </c>
      <c r="H80">
        <f t="shared" si="9"/>
        <v>5112</v>
      </c>
      <c r="I80">
        <f t="shared" si="10"/>
        <v>18922500</v>
      </c>
      <c r="J80" s="2">
        <f t="shared" si="11"/>
        <v>5.7086614173228343</v>
      </c>
    </row>
    <row r="81" spans="2:10" x14ac:dyDescent="0.35">
      <c r="B81" t="s">
        <v>7</v>
      </c>
      <c r="C81" s="1">
        <v>1455</v>
      </c>
      <c r="D81">
        <f t="shared" si="12"/>
        <v>1872</v>
      </c>
      <c r="E81">
        <f t="shared" si="13"/>
        <v>173889</v>
      </c>
      <c r="F81" s="2">
        <f t="shared" si="14"/>
        <v>0.28659793814432988</v>
      </c>
      <c r="H81">
        <f t="shared" si="9"/>
        <v>968.5</v>
      </c>
      <c r="I81">
        <f t="shared" si="10"/>
        <v>236682.25</v>
      </c>
      <c r="J81" s="2">
        <f t="shared" si="11"/>
        <v>-0.33436426116838486</v>
      </c>
    </row>
    <row r="82" spans="2:10" x14ac:dyDescent="0.35">
      <c r="B82" t="s">
        <v>5</v>
      </c>
      <c r="C82" s="1">
        <v>1181</v>
      </c>
      <c r="D82">
        <f t="shared" si="12"/>
        <v>2219.3333333333335</v>
      </c>
      <c r="E82">
        <f t="shared" si="13"/>
        <v>1078136.1111111115</v>
      </c>
      <c r="F82" s="2">
        <f t="shared" si="14"/>
        <v>0.87919841941857191</v>
      </c>
      <c r="H82">
        <f t="shared" si="9"/>
        <v>3675.5</v>
      </c>
      <c r="I82">
        <f t="shared" si="10"/>
        <v>6222530.25</v>
      </c>
      <c r="J82" s="2">
        <f t="shared" si="11"/>
        <v>2.1121930567315834</v>
      </c>
    </row>
    <row r="83" spans="2:10" x14ac:dyDescent="0.35">
      <c r="B83" t="s">
        <v>6</v>
      </c>
      <c r="C83" s="1">
        <v>264</v>
      </c>
      <c r="D83">
        <f t="shared" si="12"/>
        <v>1132.6666666666667</v>
      </c>
      <c r="E83">
        <f t="shared" si="13"/>
        <v>754581.77777777787</v>
      </c>
      <c r="F83" s="2">
        <f t="shared" si="14"/>
        <v>3.2904040404040407</v>
      </c>
      <c r="H83">
        <f t="shared" si="9"/>
        <v>1562</v>
      </c>
      <c r="I83">
        <f t="shared" si="10"/>
        <v>1684804</v>
      </c>
      <c r="J83" s="2">
        <f t="shared" si="11"/>
        <v>4.916666666666667</v>
      </c>
    </row>
    <row r="84" spans="2:10" x14ac:dyDescent="0.35">
      <c r="B84" t="s">
        <v>9</v>
      </c>
      <c r="C84" s="1">
        <v>1360</v>
      </c>
      <c r="D84">
        <f t="shared" si="12"/>
        <v>966.66666666666663</v>
      </c>
      <c r="E84">
        <f t="shared" si="13"/>
        <v>154711.11111111115</v>
      </c>
      <c r="F84" s="2">
        <f t="shared" si="14"/>
        <v>-0.28921568627450983</v>
      </c>
      <c r="H84">
        <f t="shared" si="9"/>
        <v>991.5</v>
      </c>
      <c r="I84">
        <f t="shared" si="10"/>
        <v>135792.25</v>
      </c>
      <c r="J84" s="2">
        <f t="shared" si="11"/>
        <v>-0.27095588235294116</v>
      </c>
    </row>
    <row r="85" spans="2:10" x14ac:dyDescent="0.35">
      <c r="B85" t="s">
        <v>3</v>
      </c>
      <c r="C85" s="1">
        <v>246</v>
      </c>
      <c r="D85">
        <f t="shared" si="12"/>
        <v>935</v>
      </c>
      <c r="E85">
        <f t="shared" si="13"/>
        <v>474721</v>
      </c>
      <c r="F85" s="2">
        <f t="shared" si="14"/>
        <v>2.8008130081300813</v>
      </c>
      <c r="H85">
        <f t="shared" si="9"/>
        <v>1950.5</v>
      </c>
      <c r="I85">
        <f t="shared" si="10"/>
        <v>2905320.25</v>
      </c>
      <c r="J85" s="2">
        <f t="shared" si="11"/>
        <v>6.928861788617886</v>
      </c>
    </row>
    <row r="86" spans="2:10" x14ac:dyDescent="0.35">
      <c r="B86" t="s">
        <v>4</v>
      </c>
      <c r="C86" s="1">
        <v>5468</v>
      </c>
      <c r="D86">
        <f t="shared" si="12"/>
        <v>623.33333333333337</v>
      </c>
      <c r="E86">
        <f t="shared" si="13"/>
        <v>23470795.111111116</v>
      </c>
      <c r="F86" s="2">
        <f t="shared" si="14"/>
        <v>-0.88600341380151193</v>
      </c>
      <c r="H86">
        <f t="shared" si="9"/>
        <v>378</v>
      </c>
      <c r="I86">
        <f t="shared" si="10"/>
        <v>25908100</v>
      </c>
      <c r="J86" s="2">
        <f t="shared" si="11"/>
        <v>-0.93087051938551568</v>
      </c>
    </row>
    <row r="87" spans="2:10" x14ac:dyDescent="0.35">
      <c r="B87" t="s">
        <v>8</v>
      </c>
      <c r="C87" s="1">
        <v>730</v>
      </c>
      <c r="D87">
        <f t="shared" si="12"/>
        <v>2358</v>
      </c>
      <c r="E87">
        <f t="shared" si="13"/>
        <v>2650384</v>
      </c>
      <c r="F87" s="2">
        <f t="shared" si="14"/>
        <v>2.2301369863013698</v>
      </c>
      <c r="H87">
        <f t="shared" si="9"/>
        <v>6148</v>
      </c>
      <c r="I87">
        <f t="shared" si="10"/>
        <v>29354724</v>
      </c>
      <c r="J87" s="2">
        <f t="shared" si="11"/>
        <v>7.4219178082191783</v>
      </c>
    </row>
    <row r="88" spans="2:10" x14ac:dyDescent="0.35">
      <c r="B88" t="s">
        <v>10</v>
      </c>
      <c r="C88" s="1">
        <v>778</v>
      </c>
      <c r="D88">
        <f t="shared" si="12"/>
        <v>2148</v>
      </c>
      <c r="E88">
        <f t="shared" si="13"/>
        <v>1876900</v>
      </c>
      <c r="F88" s="2">
        <f t="shared" si="14"/>
        <v>1.7609254498714653</v>
      </c>
      <c r="H88">
        <f t="shared" si="9"/>
        <v>853</v>
      </c>
      <c r="I88">
        <f t="shared" si="10"/>
        <v>5625</v>
      </c>
      <c r="J88" s="2">
        <f t="shared" si="11"/>
        <v>9.6401028277634956E-2</v>
      </c>
    </row>
    <row r="89" spans="2:10" x14ac:dyDescent="0.35">
      <c r="B89" t="s">
        <v>2</v>
      </c>
      <c r="C89" s="1">
        <v>5334</v>
      </c>
      <c r="D89">
        <f t="shared" si="12"/>
        <v>2325.3333333333335</v>
      </c>
      <c r="E89">
        <f t="shared" si="13"/>
        <v>9052075.1111111101</v>
      </c>
      <c r="F89" s="2">
        <f t="shared" si="14"/>
        <v>-0.56405449318835144</v>
      </c>
      <c r="H89">
        <f t="shared" si="9"/>
        <v>3512</v>
      </c>
      <c r="I89">
        <f t="shared" si="10"/>
        <v>3319684</v>
      </c>
      <c r="J89" s="2">
        <f t="shared" si="11"/>
        <v>-0.34158230221222347</v>
      </c>
    </row>
    <row r="90" spans="2:10" x14ac:dyDescent="0.35">
      <c r="B90" t="s">
        <v>7</v>
      </c>
      <c r="C90" s="1">
        <v>676</v>
      </c>
      <c r="D90">
        <f t="shared" si="12"/>
        <v>2280.6666666666665</v>
      </c>
      <c r="E90">
        <f t="shared" si="13"/>
        <v>2574955.1111111105</v>
      </c>
      <c r="F90" s="2">
        <f t="shared" si="14"/>
        <v>2.3737672583826428</v>
      </c>
      <c r="H90">
        <f t="shared" si="9"/>
        <v>5699</v>
      </c>
      <c r="I90">
        <f t="shared" si="10"/>
        <v>25230529</v>
      </c>
      <c r="J90" s="2">
        <f t="shared" si="11"/>
        <v>7.4304733727810648</v>
      </c>
    </row>
    <row r="91" spans="2:10" x14ac:dyDescent="0.35">
      <c r="B91" t="s">
        <v>5</v>
      </c>
      <c r="C91" s="1">
        <v>3535</v>
      </c>
      <c r="D91">
        <f t="shared" si="12"/>
        <v>2262.6666666666665</v>
      </c>
      <c r="E91">
        <f t="shared" si="13"/>
        <v>1618832.1111111115</v>
      </c>
      <c r="F91" s="2">
        <f t="shared" si="14"/>
        <v>-0.35992456388495997</v>
      </c>
      <c r="H91">
        <f t="shared" si="9"/>
        <v>1065</v>
      </c>
      <c r="I91">
        <f t="shared" si="10"/>
        <v>6100900</v>
      </c>
      <c r="J91" s="2">
        <f t="shared" si="11"/>
        <v>-0.69872701555869876</v>
      </c>
    </row>
    <row r="92" spans="2:10" x14ac:dyDescent="0.35">
      <c r="B92" t="s">
        <v>4</v>
      </c>
      <c r="C92" s="1">
        <v>817</v>
      </c>
      <c r="D92">
        <f t="shared" si="12"/>
        <v>3181.6666666666665</v>
      </c>
      <c r="E92">
        <f t="shared" si="13"/>
        <v>5591648.444444444</v>
      </c>
      <c r="F92" s="2">
        <f t="shared" si="14"/>
        <v>2.8943288453692371</v>
      </c>
      <c r="H92">
        <f t="shared" si="9"/>
        <v>6202</v>
      </c>
      <c r="I92">
        <f t="shared" si="10"/>
        <v>28998225</v>
      </c>
      <c r="J92" s="2">
        <f t="shared" si="11"/>
        <v>6.5911872705018357</v>
      </c>
    </row>
    <row r="93" spans="2:10" x14ac:dyDescent="0.35">
      <c r="B93" t="s">
        <v>6</v>
      </c>
      <c r="C93" s="1">
        <v>323</v>
      </c>
      <c r="D93">
        <f t="shared" si="12"/>
        <v>1676</v>
      </c>
      <c r="E93">
        <f t="shared" si="13"/>
        <v>1830609</v>
      </c>
      <c r="F93" s="2">
        <f t="shared" si="14"/>
        <v>4.1888544891640871</v>
      </c>
      <c r="H93">
        <f t="shared" si="9"/>
        <v>1155</v>
      </c>
      <c r="I93">
        <f t="shared" si="10"/>
        <v>692224</v>
      </c>
      <c r="J93" s="2">
        <f t="shared" si="11"/>
        <v>2.5758513931888545</v>
      </c>
    </row>
    <row r="94" spans="2:10" x14ac:dyDescent="0.35">
      <c r="B94" t="s">
        <v>8</v>
      </c>
      <c r="C94" s="1">
        <v>4234</v>
      </c>
      <c r="D94">
        <f t="shared" si="12"/>
        <v>1558.3333333333333</v>
      </c>
      <c r="E94">
        <f t="shared" si="13"/>
        <v>7159192.1111111129</v>
      </c>
      <c r="F94" s="2">
        <f t="shared" si="14"/>
        <v>-0.63194772476775318</v>
      </c>
      <c r="H94">
        <f t="shared" si="9"/>
        <v>2090.5</v>
      </c>
      <c r="I94">
        <f t="shared" si="10"/>
        <v>4594592.25</v>
      </c>
      <c r="J94" s="2">
        <f t="shared" si="11"/>
        <v>-0.50625885687293337</v>
      </c>
    </row>
    <row r="95" spans="2:10" x14ac:dyDescent="0.35">
      <c r="B95" t="s">
        <v>3</v>
      </c>
      <c r="C95" s="1">
        <v>372</v>
      </c>
      <c r="D95">
        <f t="shared" si="12"/>
        <v>1791.3333333333333</v>
      </c>
      <c r="E95">
        <f t="shared" si="13"/>
        <v>2014507.111111111</v>
      </c>
      <c r="F95" s="2">
        <f t="shared" si="14"/>
        <v>3.8154121863799282</v>
      </c>
      <c r="H95">
        <f t="shared" si="9"/>
        <v>4642.5</v>
      </c>
      <c r="I95">
        <f t="shared" si="10"/>
        <v>18237170.25</v>
      </c>
      <c r="J95" s="2">
        <f t="shared" si="11"/>
        <v>11.47983870967742</v>
      </c>
    </row>
    <row r="96" spans="2:10" x14ac:dyDescent="0.35">
      <c r="B96" t="s">
        <v>7</v>
      </c>
      <c r="C96" s="1">
        <v>6189</v>
      </c>
      <c r="D96">
        <f t="shared" si="12"/>
        <v>1643</v>
      </c>
      <c r="E96">
        <f t="shared" si="13"/>
        <v>20666116</v>
      </c>
      <c r="F96" s="2">
        <f t="shared" si="14"/>
        <v>-0.73452900306996283</v>
      </c>
      <c r="H96">
        <f t="shared" si="9"/>
        <v>533.5</v>
      </c>
      <c r="I96">
        <f t="shared" si="10"/>
        <v>31984680.25</v>
      </c>
      <c r="J96" s="2">
        <f t="shared" si="11"/>
        <v>-0.91379867506867019</v>
      </c>
    </row>
    <row r="97" spans="2:10" x14ac:dyDescent="0.35">
      <c r="B97" t="s">
        <v>2</v>
      </c>
      <c r="C97" s="1">
        <v>756</v>
      </c>
      <c r="D97">
        <f t="shared" si="12"/>
        <v>3598.3333333333335</v>
      </c>
      <c r="E97">
        <f t="shared" si="13"/>
        <v>8078858.7777777789</v>
      </c>
      <c r="F97" s="2">
        <f t="shared" si="14"/>
        <v>3.7597001763668434</v>
      </c>
      <c r="H97">
        <f t="shared" si="9"/>
        <v>8306</v>
      </c>
      <c r="I97">
        <f t="shared" si="10"/>
        <v>57002500</v>
      </c>
      <c r="J97" s="2">
        <f t="shared" si="11"/>
        <v>9.9867724867724874</v>
      </c>
    </row>
    <row r="98" spans="2:10" x14ac:dyDescent="0.35">
      <c r="B98" t="s">
        <v>5</v>
      </c>
      <c r="C98" s="1">
        <v>816</v>
      </c>
      <c r="D98">
        <f t="shared" si="12"/>
        <v>2439</v>
      </c>
      <c r="E98">
        <f t="shared" si="13"/>
        <v>2634129</v>
      </c>
      <c r="F98" s="2">
        <f t="shared" si="14"/>
        <v>1.9889705882352942</v>
      </c>
      <c r="H98">
        <f t="shared" si="9"/>
        <v>942</v>
      </c>
      <c r="I98">
        <f t="shared" si="10"/>
        <v>15876</v>
      </c>
      <c r="J98" s="2">
        <f t="shared" si="11"/>
        <v>0.15441176470588236</v>
      </c>
    </row>
    <row r="99" spans="2:10" x14ac:dyDescent="0.35">
      <c r="B99" t="s">
        <v>9</v>
      </c>
      <c r="C99" s="1">
        <v>1264</v>
      </c>
      <c r="D99">
        <f t="shared" si="12"/>
        <v>2587</v>
      </c>
      <c r="E99">
        <f t="shared" si="13"/>
        <v>1750329</v>
      </c>
      <c r="F99" s="2">
        <f t="shared" si="14"/>
        <v>1.0466772151898733</v>
      </c>
      <c r="H99">
        <f t="shared" si="9"/>
        <v>3910.5</v>
      </c>
      <c r="I99">
        <f t="shared" si="10"/>
        <v>7003962.25</v>
      </c>
      <c r="J99" s="2">
        <f t="shared" si="11"/>
        <v>2.09375</v>
      </c>
    </row>
    <row r="100" spans="2:10" x14ac:dyDescent="0.35">
      <c r="B100" t="s">
        <v>6</v>
      </c>
      <c r="C100" s="1">
        <v>5048</v>
      </c>
      <c r="D100">
        <f t="shared" si="12"/>
        <v>945.33333333333337</v>
      </c>
      <c r="E100">
        <f t="shared" si="13"/>
        <v>16831873.77777778</v>
      </c>
      <c r="F100" s="2">
        <f t="shared" si="14"/>
        <v>-0.81273111463285796</v>
      </c>
      <c r="H100">
        <f t="shared" si="9"/>
        <v>1642</v>
      </c>
      <c r="I100">
        <f t="shared" si="10"/>
        <v>11600836</v>
      </c>
      <c r="J100" s="2">
        <f t="shared" si="11"/>
        <v>-0.67472266244057055</v>
      </c>
    </row>
    <row r="101" spans="2:10" x14ac:dyDescent="0.35">
      <c r="B101" t="s">
        <v>4</v>
      </c>
      <c r="C101" s="1">
        <v>548</v>
      </c>
      <c r="D101">
        <f t="shared" si="12"/>
        <v>2376</v>
      </c>
      <c r="E101">
        <f t="shared" si="13"/>
        <v>3341584</v>
      </c>
      <c r="F101" s="2">
        <f t="shared" si="14"/>
        <v>3.335766423357664</v>
      </c>
      <c r="H101">
        <f t="shared" ref="H101:H132" si="15">C98+C100-C99+C99-C98/2</f>
        <v>5456</v>
      </c>
      <c r="I101">
        <f t="shared" ref="I101:I132" si="16">(H101-C101)^2</f>
        <v>24088464</v>
      </c>
      <c r="J101" s="2">
        <f t="shared" si="11"/>
        <v>8.9562043795620436</v>
      </c>
    </row>
    <row r="102" spans="2:10" x14ac:dyDescent="0.35">
      <c r="B102" t="s">
        <v>2</v>
      </c>
      <c r="D102">
        <f t="shared" si="12"/>
        <v>2286.6666666666665</v>
      </c>
      <c r="E102">
        <f t="shared" si="13"/>
        <v>5228844.444444444</v>
      </c>
      <c r="F102" s="2" t="e">
        <f t="shared" si="14"/>
        <v>#DIV/0!</v>
      </c>
      <c r="H102">
        <f t="shared" si="15"/>
        <v>1180</v>
      </c>
      <c r="I102">
        <f t="shared" si="16"/>
        <v>1392400</v>
      </c>
      <c r="J102" s="2" t="e">
        <f t="shared" si="11"/>
        <v>#DIV/0!</v>
      </c>
    </row>
    <row r="103" spans="2:10" x14ac:dyDescent="0.35">
      <c r="B103" t="s">
        <v>3</v>
      </c>
      <c r="D103">
        <f t="shared" si="12"/>
        <v>2798</v>
      </c>
      <c r="E103">
        <f t="shared" si="13"/>
        <v>7828804</v>
      </c>
      <c r="F103" s="2" t="e">
        <f t="shared" si="14"/>
        <v>#DIV/0!</v>
      </c>
      <c r="H103">
        <f t="shared" si="15"/>
        <v>2524</v>
      </c>
      <c r="I103">
        <f t="shared" si="16"/>
        <v>6370576</v>
      </c>
      <c r="J103" s="2" t="e">
        <f t="shared" si="11"/>
        <v>#DIV/0!</v>
      </c>
    </row>
    <row r="104" spans="2:10" x14ac:dyDescent="0.35">
      <c r="B104" t="s">
        <v>4</v>
      </c>
      <c r="D104">
        <f t="shared" si="12"/>
        <v>548</v>
      </c>
      <c r="E104">
        <f t="shared" si="13"/>
        <v>300304</v>
      </c>
      <c r="F104" s="2" t="e">
        <f t="shared" si="14"/>
        <v>#DIV/0!</v>
      </c>
      <c r="H104">
        <f t="shared" si="15"/>
        <v>274</v>
      </c>
      <c r="I104">
        <f t="shared" si="16"/>
        <v>75076</v>
      </c>
      <c r="J104" s="2" t="e">
        <f t="shared" si="11"/>
        <v>#DIV/0!</v>
      </c>
    </row>
    <row r="106" spans="2:10" x14ac:dyDescent="0.35">
      <c r="E106" s="2">
        <f>SQRT(AVERAGE(E5:E104))</f>
        <v>2505.0747005938879</v>
      </c>
      <c r="F106" s="3">
        <f>AVERAGE(F5:F101)</f>
        <v>1.9267371328595002</v>
      </c>
      <c r="I106" s="2">
        <f>SQRT(AVERAGE(I5:I104))</f>
        <v>3700.7682911795491</v>
      </c>
      <c r="J106" s="3">
        <f>AVERAGE(J5:J101)</f>
        <v>3.8768265256385672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BAB3-0D81-464C-B3F7-F8355BDA080A}">
  <dimension ref="A1:G104"/>
  <sheetViews>
    <sheetView tabSelected="1" workbookViewId="0">
      <selection activeCell="M3" sqref="M3"/>
    </sheetView>
  </sheetViews>
  <sheetFormatPr defaultRowHeight="14.5" x14ac:dyDescent="0.35"/>
  <cols>
    <col min="1" max="1" width="6.90625" bestFit="1" customWidth="1"/>
    <col min="2" max="2" width="11.90625" bestFit="1" customWidth="1"/>
    <col min="3" max="3" width="11.81640625" bestFit="1" customWidth="1"/>
    <col min="4" max="4" width="6.81640625" bestFit="1" customWidth="1"/>
  </cols>
  <sheetData>
    <row r="1" spans="1:7" ht="15.5" x14ac:dyDescent="0.35">
      <c r="A1" s="4" t="s">
        <v>1</v>
      </c>
      <c r="B1" s="4" t="s">
        <v>0</v>
      </c>
      <c r="C1" s="4" t="s">
        <v>11</v>
      </c>
      <c r="D1" s="4" t="s">
        <v>12</v>
      </c>
    </row>
    <row r="2" spans="1:7" ht="15.5" x14ac:dyDescent="0.35">
      <c r="A2" t="s">
        <v>2</v>
      </c>
      <c r="B2" s="1">
        <v>4103</v>
      </c>
    </row>
    <row r="3" spans="1:7" ht="15.5" x14ac:dyDescent="0.35">
      <c r="A3" t="s">
        <v>3</v>
      </c>
      <c r="B3" s="1">
        <v>1807</v>
      </c>
      <c r="G3" t="s">
        <v>16</v>
      </c>
    </row>
    <row r="4" spans="1:7" ht="15.5" x14ac:dyDescent="0.35">
      <c r="A4" t="s">
        <v>4</v>
      </c>
      <c r="B4" s="1">
        <v>149</v>
      </c>
    </row>
    <row r="5" spans="1:7" ht="15.5" x14ac:dyDescent="0.35">
      <c r="A5" t="s">
        <v>5</v>
      </c>
      <c r="B5" s="1">
        <v>6763</v>
      </c>
      <c r="C5">
        <v>2019.6666666666667</v>
      </c>
      <c r="D5">
        <v>2200.5</v>
      </c>
    </row>
    <row r="6" spans="1:7" ht="15.5" x14ac:dyDescent="0.35">
      <c r="A6" t="s">
        <v>6</v>
      </c>
      <c r="B6" s="1">
        <v>713</v>
      </c>
      <c r="C6">
        <v>2906.3333333333335</v>
      </c>
      <c r="D6">
        <v>7666.5</v>
      </c>
    </row>
    <row r="7" spans="1:7" ht="15.5" x14ac:dyDescent="0.35">
      <c r="A7" t="s">
        <v>7</v>
      </c>
      <c r="B7" s="1">
        <v>652</v>
      </c>
      <c r="C7">
        <v>2541.6666666666665</v>
      </c>
      <c r="D7">
        <v>787.5</v>
      </c>
    </row>
    <row r="8" spans="1:7" ht="15.5" x14ac:dyDescent="0.35">
      <c r="A8" t="s">
        <v>8</v>
      </c>
      <c r="B8" s="1">
        <v>1119</v>
      </c>
      <c r="C8">
        <v>2709.3333333333335</v>
      </c>
      <c r="D8">
        <v>4033.5</v>
      </c>
    </row>
    <row r="9" spans="1:7" ht="15.5" x14ac:dyDescent="0.35">
      <c r="A9" t="s">
        <v>5</v>
      </c>
      <c r="B9" s="1">
        <v>1034</v>
      </c>
      <c r="C9">
        <v>828</v>
      </c>
      <c r="D9">
        <v>1475.5</v>
      </c>
    </row>
    <row r="10" spans="1:7" ht="15.5" x14ac:dyDescent="0.35">
      <c r="A10" t="s">
        <v>9</v>
      </c>
      <c r="B10" s="1">
        <v>169</v>
      </c>
      <c r="C10">
        <v>935</v>
      </c>
      <c r="D10">
        <v>1360</v>
      </c>
    </row>
    <row r="11" spans="1:7" ht="15.5" x14ac:dyDescent="0.35">
      <c r="A11" t="s">
        <v>3</v>
      </c>
      <c r="B11" s="1">
        <v>6201</v>
      </c>
      <c r="C11">
        <v>774</v>
      </c>
      <c r="D11">
        <v>728.5</v>
      </c>
    </row>
    <row r="12" spans="1:7" ht="15.5" x14ac:dyDescent="0.35">
      <c r="A12" t="s">
        <v>2</v>
      </c>
      <c r="B12" s="1">
        <v>1324</v>
      </c>
      <c r="C12">
        <v>2468</v>
      </c>
      <c r="D12">
        <v>6718</v>
      </c>
    </row>
    <row r="13" spans="1:7" ht="15.5" x14ac:dyDescent="0.35">
      <c r="A13" t="s">
        <v>10</v>
      </c>
      <c r="B13" s="1">
        <v>199</v>
      </c>
      <c r="C13">
        <v>2564.6666666666665</v>
      </c>
      <c r="D13">
        <v>1408.5</v>
      </c>
    </row>
    <row r="14" spans="1:7" ht="15.5" x14ac:dyDescent="0.35">
      <c r="A14" t="s">
        <v>7</v>
      </c>
      <c r="B14" s="1">
        <v>982</v>
      </c>
      <c r="C14">
        <v>2574.6666666666665</v>
      </c>
      <c r="D14">
        <v>3299.5</v>
      </c>
    </row>
    <row r="15" spans="1:7" ht="15.5" x14ac:dyDescent="0.35">
      <c r="A15" t="s">
        <v>4</v>
      </c>
      <c r="B15" s="1">
        <v>515</v>
      </c>
      <c r="C15">
        <v>835</v>
      </c>
      <c r="D15">
        <v>1644</v>
      </c>
    </row>
    <row r="16" spans="1:7" ht="15.5" x14ac:dyDescent="0.35">
      <c r="A16" t="s">
        <v>6</v>
      </c>
      <c r="B16" s="1">
        <v>5375</v>
      </c>
      <c r="C16">
        <v>565.33333333333337</v>
      </c>
      <c r="D16">
        <v>614.5</v>
      </c>
    </row>
    <row r="17" spans="1:4" ht="15.5" x14ac:dyDescent="0.35">
      <c r="A17" t="s">
        <v>8</v>
      </c>
      <c r="B17" s="1">
        <v>631</v>
      </c>
      <c r="C17">
        <v>2290.6666666666665</v>
      </c>
      <c r="D17">
        <v>5866</v>
      </c>
    </row>
    <row r="18" spans="1:4" ht="15.5" x14ac:dyDescent="0.35">
      <c r="A18" t="s">
        <v>3</v>
      </c>
      <c r="B18" s="1">
        <v>914</v>
      </c>
      <c r="C18">
        <v>2173.6666666666665</v>
      </c>
      <c r="D18">
        <v>888.5</v>
      </c>
    </row>
    <row r="19" spans="1:4" ht="15.5" x14ac:dyDescent="0.35">
      <c r="A19" t="s">
        <v>9</v>
      </c>
      <c r="B19" s="1">
        <v>1409</v>
      </c>
      <c r="C19">
        <v>2306.6666666666665</v>
      </c>
      <c r="D19">
        <v>3601.5</v>
      </c>
    </row>
    <row r="20" spans="1:4" ht="15.5" x14ac:dyDescent="0.35">
      <c r="A20" t="s">
        <v>7</v>
      </c>
      <c r="B20" s="1">
        <v>7713</v>
      </c>
      <c r="C20">
        <v>984.66666666666663</v>
      </c>
      <c r="D20">
        <v>1724.5</v>
      </c>
    </row>
    <row r="21" spans="1:4" ht="15.5" x14ac:dyDescent="0.35">
      <c r="A21" t="s">
        <v>5</v>
      </c>
      <c r="B21" s="1">
        <v>1331</v>
      </c>
      <c r="C21">
        <v>3345.3333333333335</v>
      </c>
      <c r="D21">
        <v>8170</v>
      </c>
    </row>
    <row r="22" spans="1:4" ht="15.5" x14ac:dyDescent="0.35">
      <c r="A22" t="s">
        <v>10</v>
      </c>
      <c r="B22" s="1">
        <v>1489</v>
      </c>
      <c r="C22">
        <v>3484.3333333333335</v>
      </c>
      <c r="D22">
        <v>2035.5</v>
      </c>
    </row>
    <row r="23" spans="1:4" ht="15.5" x14ac:dyDescent="0.35">
      <c r="A23" t="s">
        <v>2</v>
      </c>
      <c r="B23" s="1">
        <v>331</v>
      </c>
      <c r="C23">
        <v>3511</v>
      </c>
      <c r="D23">
        <v>5345.5</v>
      </c>
    </row>
    <row r="24" spans="1:4" ht="15.5" x14ac:dyDescent="0.35">
      <c r="A24" t="s">
        <v>6</v>
      </c>
      <c r="B24" s="1">
        <v>2191</v>
      </c>
      <c r="C24">
        <v>1050.3333333333333</v>
      </c>
      <c r="D24">
        <v>996.5</v>
      </c>
    </row>
    <row r="25" spans="1:4" ht="15.5" x14ac:dyDescent="0.35">
      <c r="A25" t="s">
        <v>9</v>
      </c>
      <c r="B25" s="1">
        <v>1726</v>
      </c>
      <c r="C25">
        <v>1337</v>
      </c>
      <c r="D25">
        <v>2935.5</v>
      </c>
    </row>
    <row r="26" spans="1:4" ht="15.5" x14ac:dyDescent="0.35">
      <c r="A26" t="s">
        <v>4</v>
      </c>
      <c r="B26" s="1">
        <v>1188</v>
      </c>
      <c r="C26">
        <v>1416</v>
      </c>
      <c r="D26">
        <v>1891.5</v>
      </c>
    </row>
    <row r="27" spans="1:4" ht="15.5" x14ac:dyDescent="0.35">
      <c r="A27" t="s">
        <v>5</v>
      </c>
      <c r="B27" s="1">
        <v>908</v>
      </c>
      <c r="C27">
        <v>1701.6666666666667</v>
      </c>
      <c r="D27">
        <v>2283.5</v>
      </c>
    </row>
    <row r="28" spans="1:4" ht="15.5" x14ac:dyDescent="0.35">
      <c r="A28" t="s">
        <v>3</v>
      </c>
      <c r="B28" s="1">
        <v>1587</v>
      </c>
      <c r="C28">
        <v>1274</v>
      </c>
      <c r="D28">
        <v>1771</v>
      </c>
    </row>
    <row r="29" spans="1:4" ht="15.5" x14ac:dyDescent="0.35">
      <c r="A29" t="s">
        <v>7</v>
      </c>
      <c r="B29" s="1">
        <v>2630</v>
      </c>
      <c r="C29">
        <v>1227.6666666666667</v>
      </c>
      <c r="D29">
        <v>2181</v>
      </c>
    </row>
    <row r="30" spans="1:4" ht="15.5" x14ac:dyDescent="0.35">
      <c r="A30" t="s">
        <v>8</v>
      </c>
      <c r="B30" s="1">
        <v>6634</v>
      </c>
      <c r="C30">
        <v>1708.3333333333333</v>
      </c>
      <c r="D30">
        <v>3084</v>
      </c>
    </row>
    <row r="31" spans="1:4" ht="15.5" x14ac:dyDescent="0.35">
      <c r="A31" t="s">
        <v>6</v>
      </c>
      <c r="B31" s="1">
        <v>222</v>
      </c>
      <c r="C31">
        <v>3617</v>
      </c>
      <c r="D31">
        <v>7427.5</v>
      </c>
    </row>
    <row r="32" spans="1:4" ht="15.5" x14ac:dyDescent="0.35">
      <c r="A32" t="s">
        <v>4</v>
      </c>
      <c r="B32" s="1">
        <v>1134</v>
      </c>
      <c r="C32">
        <v>3162</v>
      </c>
      <c r="D32">
        <v>1537</v>
      </c>
    </row>
    <row r="33" spans="1:4" ht="15.5" x14ac:dyDescent="0.35">
      <c r="A33" t="s">
        <v>3</v>
      </c>
      <c r="B33" s="1">
        <v>412</v>
      </c>
      <c r="C33">
        <v>2663.3333333333335</v>
      </c>
      <c r="D33">
        <v>4451</v>
      </c>
    </row>
    <row r="34" spans="1:4" ht="15.5" x14ac:dyDescent="0.35">
      <c r="A34" t="s">
        <v>2</v>
      </c>
      <c r="B34" s="1">
        <v>3695</v>
      </c>
      <c r="C34">
        <v>589.33333333333337</v>
      </c>
      <c r="D34">
        <v>523</v>
      </c>
    </row>
    <row r="35" spans="1:4" ht="15.5" x14ac:dyDescent="0.35">
      <c r="A35" t="s">
        <v>9</v>
      </c>
      <c r="B35" s="1">
        <v>534</v>
      </c>
      <c r="C35">
        <v>1747</v>
      </c>
      <c r="D35">
        <v>4262</v>
      </c>
    </row>
    <row r="36" spans="1:4" ht="15.5" x14ac:dyDescent="0.35">
      <c r="A36" t="s">
        <v>7</v>
      </c>
      <c r="B36" s="1">
        <v>5690</v>
      </c>
      <c r="C36">
        <v>1547</v>
      </c>
      <c r="D36">
        <v>740</v>
      </c>
    </row>
    <row r="37" spans="1:4" ht="15.5" x14ac:dyDescent="0.35">
      <c r="A37" t="s">
        <v>5</v>
      </c>
      <c r="B37" s="1">
        <v>759</v>
      </c>
      <c r="C37">
        <v>3306.3333333333335</v>
      </c>
      <c r="D37">
        <v>7537.5</v>
      </c>
    </row>
    <row r="38" spans="1:4" ht="15.5" x14ac:dyDescent="0.35">
      <c r="A38" t="s">
        <v>10</v>
      </c>
      <c r="B38" s="1">
        <v>677</v>
      </c>
      <c r="C38">
        <v>2327.6666666666665</v>
      </c>
      <c r="D38">
        <v>1026</v>
      </c>
    </row>
    <row r="39" spans="1:4" ht="15.5" x14ac:dyDescent="0.35">
      <c r="A39" t="s">
        <v>4</v>
      </c>
      <c r="B39" s="1">
        <v>972</v>
      </c>
      <c r="C39">
        <v>2375.3333333333335</v>
      </c>
      <c r="D39">
        <v>3522</v>
      </c>
    </row>
    <row r="40" spans="1:4" ht="15.5" x14ac:dyDescent="0.35">
      <c r="A40" t="s">
        <v>8</v>
      </c>
      <c r="B40" s="1">
        <v>5066</v>
      </c>
      <c r="C40">
        <v>802.66666666666663</v>
      </c>
      <c r="D40">
        <v>1351.5</v>
      </c>
    </row>
    <row r="41" spans="1:4" ht="15.5" x14ac:dyDescent="0.35">
      <c r="A41" t="s">
        <v>6</v>
      </c>
      <c r="B41" s="1">
        <v>198</v>
      </c>
      <c r="C41">
        <v>2238.3333333333335</v>
      </c>
      <c r="D41">
        <v>5404.5</v>
      </c>
    </row>
    <row r="42" spans="1:4" ht="15.5" x14ac:dyDescent="0.35">
      <c r="A42" t="s">
        <v>2</v>
      </c>
      <c r="B42" s="1">
        <v>1360</v>
      </c>
      <c r="C42">
        <v>2078.6666666666665</v>
      </c>
      <c r="D42">
        <v>684</v>
      </c>
    </row>
    <row r="43" spans="1:4" ht="15.5" x14ac:dyDescent="0.35">
      <c r="A43" t="s">
        <v>3</v>
      </c>
      <c r="B43" s="1">
        <v>299</v>
      </c>
      <c r="C43">
        <v>2208</v>
      </c>
      <c r="D43">
        <v>3893</v>
      </c>
    </row>
    <row r="44" spans="1:4" ht="15.5" x14ac:dyDescent="0.35">
      <c r="A44" t="s">
        <v>7</v>
      </c>
      <c r="B44" s="1">
        <v>5512</v>
      </c>
      <c r="C44">
        <v>619</v>
      </c>
      <c r="D44">
        <v>398</v>
      </c>
    </row>
    <row r="45" spans="1:4" ht="15.5" x14ac:dyDescent="0.35">
      <c r="A45" t="s">
        <v>9</v>
      </c>
      <c r="B45" s="1">
        <v>937</v>
      </c>
      <c r="C45">
        <v>2390.3333333333335</v>
      </c>
      <c r="D45">
        <v>6192</v>
      </c>
    </row>
    <row r="46" spans="1:4" ht="15.5" x14ac:dyDescent="0.35">
      <c r="A46" t="s">
        <v>5</v>
      </c>
      <c r="B46" s="1">
        <v>6133</v>
      </c>
      <c r="C46">
        <v>2249.3333333333335</v>
      </c>
      <c r="D46">
        <v>1086.5</v>
      </c>
    </row>
    <row r="47" spans="1:4" ht="15.5" x14ac:dyDescent="0.35">
      <c r="A47" t="s">
        <v>4</v>
      </c>
      <c r="B47" s="1">
        <v>715</v>
      </c>
      <c r="C47">
        <v>4194</v>
      </c>
      <c r="D47">
        <v>8889</v>
      </c>
    </row>
    <row r="48" spans="1:4" ht="15.5" x14ac:dyDescent="0.35">
      <c r="A48" t="s">
        <v>8</v>
      </c>
      <c r="B48" s="1">
        <v>902</v>
      </c>
      <c r="C48">
        <v>2595</v>
      </c>
      <c r="D48">
        <v>1183.5</v>
      </c>
    </row>
    <row r="49" spans="1:4" ht="15.5" x14ac:dyDescent="0.35">
      <c r="A49" t="s">
        <v>3</v>
      </c>
      <c r="B49" s="1">
        <v>1250</v>
      </c>
      <c r="C49">
        <v>2583.3333333333335</v>
      </c>
      <c r="D49">
        <v>3968.5</v>
      </c>
    </row>
    <row r="50" spans="1:4" ht="15.5" x14ac:dyDescent="0.35">
      <c r="A50" t="s">
        <v>2</v>
      </c>
      <c r="B50" s="1">
        <v>3488</v>
      </c>
      <c r="C50">
        <v>955.66666666666663</v>
      </c>
      <c r="D50">
        <v>1607.5</v>
      </c>
    </row>
    <row r="51" spans="1:4" ht="15.5" x14ac:dyDescent="0.35">
      <c r="A51" t="s">
        <v>7</v>
      </c>
      <c r="B51" s="1">
        <v>966</v>
      </c>
      <c r="C51">
        <v>1880</v>
      </c>
      <c r="D51">
        <v>3939</v>
      </c>
    </row>
    <row r="52" spans="1:4" ht="15.5" x14ac:dyDescent="0.35">
      <c r="A52" t="s">
        <v>9</v>
      </c>
      <c r="B52" s="1">
        <v>2593</v>
      </c>
      <c r="C52">
        <v>1901.3333333333333</v>
      </c>
      <c r="D52">
        <v>1591</v>
      </c>
    </row>
    <row r="53" spans="1:4" ht="15.5" x14ac:dyDescent="0.35">
      <c r="A53" t="s">
        <v>4</v>
      </c>
      <c r="B53" s="1">
        <v>306</v>
      </c>
      <c r="C53">
        <v>2349</v>
      </c>
      <c r="D53">
        <v>4337</v>
      </c>
    </row>
    <row r="54" spans="1:4" ht="15.5" x14ac:dyDescent="0.35">
      <c r="A54" t="s">
        <v>8</v>
      </c>
      <c r="B54" s="1">
        <v>2896</v>
      </c>
      <c r="C54">
        <v>1288.3333333333333</v>
      </c>
      <c r="D54">
        <v>789</v>
      </c>
    </row>
    <row r="55" spans="1:4" ht="15.5" x14ac:dyDescent="0.35">
      <c r="A55" t="s">
        <v>6</v>
      </c>
      <c r="B55" s="1">
        <v>174</v>
      </c>
      <c r="C55">
        <v>1931.6666666666667</v>
      </c>
      <c r="D55">
        <v>4192.5</v>
      </c>
    </row>
    <row r="56" spans="1:4" ht="15.5" x14ac:dyDescent="0.35">
      <c r="A56" t="s">
        <v>5</v>
      </c>
      <c r="B56" s="1">
        <v>5708</v>
      </c>
      <c r="C56">
        <v>1125.3333333333333</v>
      </c>
      <c r="D56">
        <v>327</v>
      </c>
    </row>
    <row r="57" spans="1:4" ht="15.5" x14ac:dyDescent="0.35">
      <c r="A57" t="s">
        <v>3</v>
      </c>
      <c r="B57" s="1">
        <v>530</v>
      </c>
      <c r="C57">
        <v>2926</v>
      </c>
      <c r="D57">
        <v>7156</v>
      </c>
    </row>
    <row r="58" spans="1:4" ht="15.5" x14ac:dyDescent="0.35">
      <c r="A58" t="s">
        <v>10</v>
      </c>
      <c r="B58" s="1">
        <v>825</v>
      </c>
      <c r="C58">
        <v>2137.3333333333335</v>
      </c>
      <c r="D58">
        <v>617</v>
      </c>
    </row>
    <row r="59" spans="1:4" ht="15.5" x14ac:dyDescent="0.35">
      <c r="A59" t="s">
        <v>4</v>
      </c>
      <c r="B59" s="1">
        <v>1178</v>
      </c>
      <c r="C59">
        <v>2354.3333333333335</v>
      </c>
      <c r="D59">
        <v>3679</v>
      </c>
    </row>
    <row r="60" spans="1:4" ht="15.5" x14ac:dyDescent="0.35">
      <c r="A60" t="s">
        <v>7</v>
      </c>
      <c r="B60" s="1">
        <v>3420</v>
      </c>
      <c r="C60">
        <v>844.33333333333337</v>
      </c>
      <c r="D60">
        <v>1443</v>
      </c>
    </row>
    <row r="61" spans="1:4" ht="15.5" x14ac:dyDescent="0.35">
      <c r="A61" t="s">
        <v>2</v>
      </c>
      <c r="B61" s="1">
        <v>801</v>
      </c>
      <c r="C61">
        <v>1807.6666666666667</v>
      </c>
      <c r="D61">
        <v>3832.5</v>
      </c>
    </row>
    <row r="62" spans="1:4" ht="15.5" x14ac:dyDescent="0.35">
      <c r="A62" t="s">
        <v>6</v>
      </c>
      <c r="B62" s="1">
        <v>799</v>
      </c>
      <c r="C62">
        <v>1799.6666666666667</v>
      </c>
      <c r="D62">
        <v>1390</v>
      </c>
    </row>
    <row r="63" spans="1:4" ht="15.5" x14ac:dyDescent="0.35">
      <c r="A63" t="s">
        <v>8</v>
      </c>
      <c r="B63" s="1">
        <v>287</v>
      </c>
      <c r="C63">
        <v>1673.3333333333333</v>
      </c>
      <c r="D63">
        <v>2509</v>
      </c>
    </row>
    <row r="64" spans="1:4" ht="15.5" x14ac:dyDescent="0.35">
      <c r="A64" t="s">
        <v>10</v>
      </c>
      <c r="B64" s="1">
        <v>5595</v>
      </c>
      <c r="C64">
        <v>629</v>
      </c>
      <c r="D64">
        <v>687.5</v>
      </c>
    </row>
    <row r="65" spans="1:4" ht="15.5" x14ac:dyDescent="0.35">
      <c r="A65" t="s">
        <v>5</v>
      </c>
      <c r="B65" s="1">
        <v>402</v>
      </c>
      <c r="C65">
        <v>2227</v>
      </c>
      <c r="D65">
        <v>5994.5</v>
      </c>
    </row>
    <row r="66" spans="1:4" ht="15.5" x14ac:dyDescent="0.35">
      <c r="A66" t="s">
        <v>3</v>
      </c>
      <c r="B66" s="1">
        <v>4869</v>
      </c>
      <c r="C66">
        <v>2094.6666666666665</v>
      </c>
      <c r="D66">
        <v>545.5</v>
      </c>
    </row>
    <row r="67" spans="1:4" ht="15.5" x14ac:dyDescent="0.35">
      <c r="A67" t="s">
        <v>7</v>
      </c>
      <c r="B67" s="1">
        <v>1432</v>
      </c>
      <c r="C67">
        <v>3622</v>
      </c>
      <c r="D67">
        <v>7666.5</v>
      </c>
    </row>
    <row r="68" spans="1:4" ht="15.5" x14ac:dyDescent="0.35">
      <c r="A68" t="s">
        <v>9</v>
      </c>
      <c r="B68" s="1">
        <v>399</v>
      </c>
      <c r="C68">
        <v>2234.3333333333335</v>
      </c>
      <c r="D68">
        <v>1633</v>
      </c>
    </row>
    <row r="69" spans="1:4" ht="15.5" x14ac:dyDescent="0.35">
      <c r="A69" t="s">
        <v>4</v>
      </c>
      <c r="B69" s="1">
        <v>2595</v>
      </c>
      <c r="C69">
        <v>2233.3333333333335</v>
      </c>
      <c r="D69">
        <v>2833.5</v>
      </c>
    </row>
    <row r="70" spans="1:4" ht="15.5" x14ac:dyDescent="0.35">
      <c r="A70" t="s">
        <v>8</v>
      </c>
      <c r="B70" s="1">
        <v>6338</v>
      </c>
      <c r="C70">
        <v>1475.3333333333333</v>
      </c>
      <c r="D70">
        <v>3311</v>
      </c>
    </row>
    <row r="71" spans="1:4" ht="15.5" x14ac:dyDescent="0.35">
      <c r="A71" t="s">
        <v>2</v>
      </c>
      <c r="B71" s="1">
        <v>219</v>
      </c>
      <c r="C71">
        <v>3110.6666666666665</v>
      </c>
      <c r="D71">
        <v>6537.5</v>
      </c>
    </row>
    <row r="72" spans="1:4" ht="15.5" x14ac:dyDescent="0.35">
      <c r="A72" t="s">
        <v>7</v>
      </c>
      <c r="B72" s="1">
        <v>694</v>
      </c>
      <c r="C72">
        <v>3050.6666666666665</v>
      </c>
      <c r="D72">
        <v>1516.5</v>
      </c>
    </row>
    <row r="73" spans="1:4" ht="15.5" x14ac:dyDescent="0.35">
      <c r="A73" t="s">
        <v>5</v>
      </c>
      <c r="B73" s="1">
        <v>1053</v>
      </c>
      <c r="C73">
        <v>2417</v>
      </c>
      <c r="D73">
        <v>3863</v>
      </c>
    </row>
    <row r="74" spans="1:4" ht="15.5" x14ac:dyDescent="0.35">
      <c r="A74" t="s">
        <v>9</v>
      </c>
      <c r="B74" s="1">
        <v>2058</v>
      </c>
      <c r="C74">
        <v>655.33333333333337</v>
      </c>
      <c r="D74">
        <v>1162.5</v>
      </c>
    </row>
    <row r="75" spans="1:4" ht="15.5" x14ac:dyDescent="0.35">
      <c r="A75" t="s">
        <v>3</v>
      </c>
      <c r="B75" s="1">
        <v>282</v>
      </c>
      <c r="C75">
        <v>1268.3333333333333</v>
      </c>
      <c r="D75">
        <v>2405</v>
      </c>
    </row>
    <row r="76" spans="1:4" ht="15.5" x14ac:dyDescent="0.35">
      <c r="A76" t="s">
        <v>6</v>
      </c>
      <c r="B76" s="1">
        <v>3867</v>
      </c>
      <c r="C76">
        <v>1131</v>
      </c>
      <c r="D76">
        <v>808.5</v>
      </c>
    </row>
    <row r="77" spans="1:4" ht="15.5" x14ac:dyDescent="0.35">
      <c r="A77" t="s">
        <v>4</v>
      </c>
      <c r="B77" s="1">
        <v>1342</v>
      </c>
      <c r="C77">
        <v>2069</v>
      </c>
      <c r="D77">
        <v>4896</v>
      </c>
    </row>
    <row r="78" spans="1:4" ht="15.5" x14ac:dyDescent="0.35">
      <c r="A78" t="s">
        <v>8</v>
      </c>
      <c r="B78" s="1">
        <v>413</v>
      </c>
      <c r="C78">
        <v>1830.3333333333333</v>
      </c>
      <c r="D78">
        <v>1483</v>
      </c>
    </row>
    <row r="79" spans="1:4" ht="15.5" x14ac:dyDescent="0.35">
      <c r="A79" t="s">
        <v>2</v>
      </c>
      <c r="B79" s="1">
        <v>4441</v>
      </c>
      <c r="C79">
        <v>1874</v>
      </c>
      <c r="D79">
        <v>2346.5</v>
      </c>
    </row>
    <row r="80" spans="1:4" ht="15.5" x14ac:dyDescent="0.35">
      <c r="A80" t="s">
        <v>10</v>
      </c>
      <c r="B80" s="1">
        <v>762</v>
      </c>
      <c r="C80">
        <v>2065.3333333333335</v>
      </c>
      <c r="D80">
        <v>5112</v>
      </c>
    </row>
    <row r="81" spans="1:4" ht="15.5" x14ac:dyDescent="0.35">
      <c r="A81" t="s">
        <v>7</v>
      </c>
      <c r="B81" s="1">
        <v>1455</v>
      </c>
      <c r="C81">
        <v>1872</v>
      </c>
      <c r="D81">
        <v>968.5</v>
      </c>
    </row>
    <row r="82" spans="1:4" ht="15.5" x14ac:dyDescent="0.35">
      <c r="A82" t="s">
        <v>5</v>
      </c>
      <c r="B82" s="1">
        <v>1181</v>
      </c>
      <c r="C82">
        <v>2219.3333333333335</v>
      </c>
      <c r="D82">
        <v>3675.5</v>
      </c>
    </row>
    <row r="83" spans="1:4" ht="15.5" x14ac:dyDescent="0.35">
      <c r="A83" t="s">
        <v>6</v>
      </c>
      <c r="B83" s="1">
        <v>264</v>
      </c>
      <c r="C83">
        <v>1132.6666666666667</v>
      </c>
      <c r="D83">
        <v>1562</v>
      </c>
    </row>
    <row r="84" spans="1:4" ht="15.5" x14ac:dyDescent="0.35">
      <c r="A84" t="s">
        <v>9</v>
      </c>
      <c r="B84" s="1">
        <v>1360</v>
      </c>
      <c r="C84">
        <v>966.66666666666663</v>
      </c>
      <c r="D84">
        <v>991.5</v>
      </c>
    </row>
    <row r="85" spans="1:4" ht="15.5" x14ac:dyDescent="0.35">
      <c r="A85" t="s">
        <v>3</v>
      </c>
      <c r="B85" s="1">
        <v>246</v>
      </c>
      <c r="C85">
        <v>935</v>
      </c>
      <c r="D85">
        <v>1950.5</v>
      </c>
    </row>
    <row r="86" spans="1:4" ht="15.5" x14ac:dyDescent="0.35">
      <c r="A86" t="s">
        <v>4</v>
      </c>
      <c r="B86" s="1">
        <v>5468</v>
      </c>
      <c r="C86">
        <v>623.33333333333337</v>
      </c>
      <c r="D86">
        <v>378</v>
      </c>
    </row>
    <row r="87" spans="1:4" ht="15.5" x14ac:dyDescent="0.35">
      <c r="A87" t="s">
        <v>8</v>
      </c>
      <c r="B87" s="1">
        <v>730</v>
      </c>
      <c r="C87">
        <v>2358</v>
      </c>
      <c r="D87">
        <v>6148</v>
      </c>
    </row>
    <row r="88" spans="1:4" ht="15.5" x14ac:dyDescent="0.35">
      <c r="A88" t="s">
        <v>10</v>
      </c>
      <c r="B88" s="1">
        <v>778</v>
      </c>
      <c r="C88">
        <v>2148</v>
      </c>
      <c r="D88">
        <v>853</v>
      </c>
    </row>
    <row r="89" spans="1:4" ht="15.5" x14ac:dyDescent="0.35">
      <c r="A89" t="s">
        <v>2</v>
      </c>
      <c r="B89" s="1">
        <v>5334</v>
      </c>
      <c r="C89">
        <v>2325.3333333333335</v>
      </c>
      <c r="D89">
        <v>3512</v>
      </c>
    </row>
    <row r="90" spans="1:4" ht="15.5" x14ac:dyDescent="0.35">
      <c r="A90" t="s">
        <v>7</v>
      </c>
      <c r="B90" s="1">
        <v>676</v>
      </c>
      <c r="C90">
        <v>2280.6666666666665</v>
      </c>
      <c r="D90">
        <v>5699</v>
      </c>
    </row>
    <row r="91" spans="1:4" ht="15.5" x14ac:dyDescent="0.35">
      <c r="A91" t="s">
        <v>5</v>
      </c>
      <c r="B91" s="1">
        <v>3535</v>
      </c>
      <c r="C91">
        <v>2262.6666666666665</v>
      </c>
      <c r="D91">
        <v>1065</v>
      </c>
    </row>
    <row r="92" spans="1:4" ht="15.5" x14ac:dyDescent="0.35">
      <c r="A92" t="s">
        <v>4</v>
      </c>
      <c r="B92" s="1">
        <v>817</v>
      </c>
      <c r="C92">
        <v>3181.6666666666665</v>
      </c>
      <c r="D92">
        <v>6202</v>
      </c>
    </row>
    <row r="93" spans="1:4" ht="15.5" x14ac:dyDescent="0.35">
      <c r="A93" t="s">
        <v>6</v>
      </c>
      <c r="B93" s="1">
        <v>323</v>
      </c>
      <c r="C93">
        <v>1676</v>
      </c>
      <c r="D93">
        <v>1155</v>
      </c>
    </row>
    <row r="94" spans="1:4" ht="15.5" x14ac:dyDescent="0.35">
      <c r="A94" t="s">
        <v>8</v>
      </c>
      <c r="B94" s="1">
        <v>4234</v>
      </c>
      <c r="C94">
        <v>1558.3333333333333</v>
      </c>
      <c r="D94">
        <v>2090.5</v>
      </c>
    </row>
    <row r="95" spans="1:4" ht="15.5" x14ac:dyDescent="0.35">
      <c r="A95" t="s">
        <v>3</v>
      </c>
      <c r="B95" s="1">
        <v>372</v>
      </c>
      <c r="C95">
        <v>1791.3333333333333</v>
      </c>
      <c r="D95">
        <v>4642.5</v>
      </c>
    </row>
    <row r="96" spans="1:4" ht="15.5" x14ac:dyDescent="0.35">
      <c r="A96" t="s">
        <v>7</v>
      </c>
      <c r="B96" s="1">
        <v>6189</v>
      </c>
      <c r="C96">
        <v>1643</v>
      </c>
      <c r="D96">
        <v>533.5</v>
      </c>
    </row>
    <row r="97" spans="1:4" ht="15.5" x14ac:dyDescent="0.35">
      <c r="A97" t="s">
        <v>2</v>
      </c>
      <c r="B97" s="1">
        <v>756</v>
      </c>
      <c r="C97">
        <v>3598.3333333333335</v>
      </c>
      <c r="D97">
        <v>8306</v>
      </c>
    </row>
    <row r="98" spans="1:4" ht="15.5" x14ac:dyDescent="0.35">
      <c r="A98" t="s">
        <v>5</v>
      </c>
      <c r="B98" s="1">
        <v>816</v>
      </c>
      <c r="C98">
        <v>2439</v>
      </c>
      <c r="D98">
        <v>942</v>
      </c>
    </row>
    <row r="99" spans="1:4" ht="15.5" x14ac:dyDescent="0.35">
      <c r="A99" t="s">
        <v>9</v>
      </c>
      <c r="B99" s="1">
        <v>1264</v>
      </c>
      <c r="C99">
        <v>2587</v>
      </c>
      <c r="D99">
        <v>3910.5</v>
      </c>
    </row>
    <row r="100" spans="1:4" ht="15.5" x14ac:dyDescent="0.35">
      <c r="A100" t="s">
        <v>6</v>
      </c>
      <c r="B100" s="1">
        <v>5048</v>
      </c>
      <c r="C100">
        <v>945.33333333333337</v>
      </c>
      <c r="D100">
        <v>1642</v>
      </c>
    </row>
    <row r="101" spans="1:4" ht="15.5" x14ac:dyDescent="0.35">
      <c r="A101" t="s">
        <v>4</v>
      </c>
      <c r="B101" s="1">
        <v>548</v>
      </c>
      <c r="C101">
        <v>2376</v>
      </c>
      <c r="D101">
        <v>5456</v>
      </c>
    </row>
    <row r="102" spans="1:4" ht="15.5" x14ac:dyDescent="0.35">
      <c r="A102" t="s">
        <v>2</v>
      </c>
      <c r="B102" s="1"/>
      <c r="C102">
        <v>2286.6666666666665</v>
      </c>
      <c r="D102">
        <v>1180</v>
      </c>
    </row>
    <row r="103" spans="1:4" ht="15.5" x14ac:dyDescent="0.35">
      <c r="A103" t="s">
        <v>3</v>
      </c>
      <c r="B103" s="1"/>
      <c r="C103">
        <v>2798</v>
      </c>
      <c r="D103">
        <v>2524</v>
      </c>
    </row>
    <row r="104" spans="1:4" ht="15.5" x14ac:dyDescent="0.35">
      <c r="A104" t="s">
        <v>4</v>
      </c>
      <c r="B104" s="1"/>
      <c r="C104">
        <v>548</v>
      </c>
      <c r="D104">
        <v>274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g</dc:creator>
  <cp:lastModifiedBy>Naveen kumar g</cp:lastModifiedBy>
  <dcterms:created xsi:type="dcterms:W3CDTF">2015-06-05T18:17:20Z</dcterms:created>
  <dcterms:modified xsi:type="dcterms:W3CDTF">2025-12-10T10:49:44Z</dcterms:modified>
</cp:coreProperties>
</file>